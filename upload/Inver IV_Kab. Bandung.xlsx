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831829F-0C2A-44B1-B8B8-34F1518DE6AA}" xr6:coauthVersionLast="47" xr6:coauthVersionMax="47" xr10:uidLastSave="{00000000-0000-0000-0000-000000000000}"/>
  <bookViews>
    <workbookView xWindow="-120" yWindow="-120" windowWidth="20730" windowHeight="11160" activeTab="1" xr2:uid="{CA202F81-F03C-46F7-8F76-0CD0CDAC9957}"/>
  </bookViews>
  <sheets>
    <sheet name="PROV. JAWA BARAT" sheetId="1" r:id="rId1"/>
    <sheet name="DATA PERDESA" sheetId="2" r:id="rId2"/>
    <sheet name="DATA PERKECAMATAN" sheetId="4" r:id="rId3"/>
  </sheets>
  <definedNames>
    <definedName name="_xlnm._FilterDatabase" localSheetId="0" hidden="1">'PROV. JAWA BARAT'!$A$5:$P$680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4" l="1"/>
  <c r="E44" i="4"/>
  <c r="E42" i="4"/>
  <c r="E40" i="4"/>
  <c r="E39" i="4"/>
  <c r="E37" i="4"/>
  <c r="E35" i="4"/>
  <c r="E34" i="4"/>
  <c r="E33" i="4"/>
  <c r="E30" i="4"/>
  <c r="E28" i="4"/>
  <c r="E26" i="4"/>
  <c r="E24" i="4"/>
  <c r="E23" i="4"/>
  <c r="E21" i="4"/>
  <c r="E19" i="4"/>
  <c r="E17" i="4"/>
  <c r="E16" i="4"/>
  <c r="E15" i="4"/>
  <c r="E13" i="4"/>
  <c r="E11" i="4"/>
  <c r="E9" i="4"/>
  <c r="E8" i="4"/>
  <c r="E6" i="4"/>
  <c r="E4" i="4"/>
  <c r="E2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D48" i="4" s="1"/>
  <c r="C2" i="4"/>
  <c r="B2" i="4"/>
  <c r="D37" i="2"/>
  <c r="C37" i="2"/>
  <c r="B37" i="2"/>
  <c r="D36" i="2"/>
  <c r="C36" i="2"/>
  <c r="B36" i="2"/>
  <c r="D35" i="2"/>
  <c r="C35" i="2"/>
  <c r="B35" i="2"/>
  <c r="D34" i="2"/>
  <c r="C34" i="2"/>
  <c r="B34" i="2"/>
  <c r="D18" i="2"/>
  <c r="C18" i="2"/>
  <c r="B18" i="2"/>
  <c r="D17" i="2"/>
  <c r="E17" i="2" s="1"/>
  <c r="C17" i="2"/>
  <c r="B17" i="2"/>
  <c r="R563" i="1"/>
  <c r="D47" i="2"/>
  <c r="C47" i="2"/>
  <c r="B47" i="2"/>
  <c r="D21" i="2"/>
  <c r="C21" i="2"/>
  <c r="B21" i="2"/>
  <c r="D33" i="2"/>
  <c r="C33" i="2"/>
  <c r="B33" i="2"/>
  <c r="D46" i="2"/>
  <c r="C46" i="2"/>
  <c r="B46" i="2"/>
  <c r="D45" i="2"/>
  <c r="C45" i="2"/>
  <c r="B45" i="2"/>
  <c r="D39" i="2"/>
  <c r="C39" i="2"/>
  <c r="B39" i="2"/>
  <c r="D42" i="2"/>
  <c r="C42" i="2"/>
  <c r="B42" i="2"/>
  <c r="D30" i="2"/>
  <c r="C30" i="2"/>
  <c r="B30" i="2"/>
  <c r="D16" i="2"/>
  <c r="C16" i="2"/>
  <c r="B16" i="2"/>
  <c r="D43" i="2"/>
  <c r="C43" i="2"/>
  <c r="B43" i="2"/>
  <c r="D27" i="2"/>
  <c r="C27" i="2"/>
  <c r="B27" i="2"/>
  <c r="D38" i="2"/>
  <c r="C38" i="2"/>
  <c r="B38" i="2"/>
  <c r="D15" i="2"/>
  <c r="C15" i="2"/>
  <c r="B15" i="2"/>
  <c r="D14" i="2"/>
  <c r="C14" i="2"/>
  <c r="B14" i="2"/>
  <c r="D41" i="2"/>
  <c r="C41" i="2"/>
  <c r="B41" i="2"/>
  <c r="D40" i="2"/>
  <c r="C40" i="2"/>
  <c r="B40" i="2"/>
  <c r="D32" i="2"/>
  <c r="C32" i="2"/>
  <c r="B32" i="2"/>
  <c r="D31" i="2"/>
  <c r="C31" i="2"/>
  <c r="B31" i="2"/>
  <c r="D8" i="2"/>
  <c r="C8" i="2"/>
  <c r="B8" i="2"/>
  <c r="D20" i="2"/>
  <c r="C20" i="2"/>
  <c r="B20" i="2"/>
  <c r="D19" i="2"/>
  <c r="C19" i="2"/>
  <c r="B19" i="2"/>
  <c r="D26" i="2"/>
  <c r="C26" i="2"/>
  <c r="B26" i="2"/>
  <c r="D25" i="2"/>
  <c r="C25" i="2"/>
  <c r="B25" i="2"/>
  <c r="D13" i="2"/>
  <c r="C13" i="2"/>
  <c r="B13" i="2"/>
  <c r="D12" i="2"/>
  <c r="C12" i="2"/>
  <c r="B12" i="2"/>
  <c r="D44" i="2"/>
  <c r="C44" i="2"/>
  <c r="B44" i="2"/>
  <c r="D28" i="2"/>
  <c r="C28" i="2"/>
  <c r="B28" i="2"/>
  <c r="D11" i="2"/>
  <c r="C11" i="2"/>
  <c r="B11" i="2"/>
  <c r="D10" i="2"/>
  <c r="C10" i="2"/>
  <c r="B10" i="2"/>
  <c r="D29" i="2"/>
  <c r="C29" i="2"/>
  <c r="B29" i="2"/>
  <c r="D24" i="2"/>
  <c r="C24" i="2"/>
  <c r="B24" i="2"/>
  <c r="D23" i="2"/>
  <c r="C23" i="2"/>
  <c r="B23" i="2"/>
  <c r="D22" i="2"/>
  <c r="C22" i="2"/>
  <c r="B22" i="2"/>
  <c r="D9" i="2"/>
  <c r="C9" i="2"/>
  <c r="B9" i="2"/>
  <c r="D5" i="2"/>
  <c r="C5" i="2"/>
  <c r="B5" i="2"/>
  <c r="D4" i="2"/>
  <c r="C4" i="2"/>
  <c r="B4" i="2"/>
  <c r="D7" i="2"/>
  <c r="C7" i="2"/>
  <c r="B7" i="2"/>
  <c r="D6" i="2"/>
  <c r="C6" i="2"/>
  <c r="B6" i="2"/>
  <c r="D3" i="2"/>
  <c r="C3" i="2"/>
  <c r="B3" i="2"/>
  <c r="D2" i="2"/>
  <c r="C2" i="2"/>
  <c r="B2" i="2"/>
  <c r="R681" i="1"/>
  <c r="R354" i="1"/>
  <c r="R342" i="1"/>
  <c r="R327" i="1"/>
  <c r="R312" i="1"/>
  <c r="R301" i="1"/>
  <c r="R367" i="1"/>
  <c r="R386" i="1"/>
  <c r="R402" i="1"/>
  <c r="R415" i="1"/>
  <c r="R434" i="1"/>
  <c r="R447" i="1"/>
  <c r="R463" i="1"/>
  <c r="R483" i="1"/>
  <c r="R500" i="1"/>
  <c r="R519" i="1"/>
  <c r="R534" i="1"/>
  <c r="R542" i="1"/>
  <c r="R569" i="1"/>
  <c r="R584" i="1"/>
  <c r="R597" i="1"/>
  <c r="R610" i="1"/>
  <c r="R625" i="1"/>
  <c r="R640" i="1"/>
  <c r="R660" i="1"/>
  <c r="R286" i="1"/>
  <c r="R278" i="1"/>
  <c r="R263" i="1"/>
  <c r="R248" i="1"/>
  <c r="R238" i="1"/>
  <c r="R224" i="1"/>
  <c r="R208" i="1"/>
  <c r="R193" i="1"/>
  <c r="R178" i="1"/>
  <c r="R165" i="1"/>
  <c r="R151" i="1"/>
  <c r="R131" i="1"/>
  <c r="R112" i="1"/>
  <c r="R102" i="1"/>
  <c r="R90" i="1"/>
  <c r="R77" i="1"/>
  <c r="R62" i="1"/>
  <c r="R47" i="1"/>
  <c r="R33" i="1"/>
  <c r="R20" i="1"/>
  <c r="R6" i="1"/>
  <c r="E44" i="2" l="1"/>
  <c r="E40" i="2"/>
  <c r="E37" i="2"/>
  <c r="E31" i="2"/>
  <c r="E34" i="2"/>
  <c r="E28" i="2"/>
  <c r="E22" i="2"/>
  <c r="E14" i="2"/>
  <c r="E10" i="2"/>
  <c r="E25" i="2"/>
  <c r="E6" i="2"/>
  <c r="E2" i="2"/>
  <c r="D75" i="2"/>
</calcChain>
</file>

<file path=xl/sharedStrings.xml><?xml version="1.0" encoding="utf-8"?>
<sst xmlns="http://schemas.openxmlformats.org/spreadsheetml/2006/main" count="9505" uniqueCount="2667">
  <si>
    <t>DAFTAR CALON PENERIMA BANTUAN TAHUN 2026</t>
  </si>
  <si>
    <t>DIREKTORAT JENDERAL PERUMAHAN PERDESAAN</t>
  </si>
  <si>
    <t>NO</t>
  </si>
  <si>
    <t>KODE 
DESA/KEL.</t>
  </si>
  <si>
    <t>NAMA</t>
  </si>
  <si>
    <t>L/P</t>
  </si>
  <si>
    <t>NO KTP</t>
  </si>
  <si>
    <t>NO KK</t>
  </si>
  <si>
    <t>ALAMAT</t>
  </si>
  <si>
    <t>DESA/
KELURAHAN</t>
  </si>
  <si>
    <t>KECAMATAN</t>
  </si>
  <si>
    <t>KABUPATEN/
KOTA</t>
  </si>
  <si>
    <t>PROVINSI</t>
  </si>
  <si>
    <t>DELINEASI</t>
  </si>
  <si>
    <t>PENGUSUL</t>
  </si>
  <si>
    <t>STATUS</t>
  </si>
  <si>
    <t>KETERANGAN</t>
  </si>
  <si>
    <t>PENGELOMPOKAN DESIL</t>
  </si>
  <si>
    <t>P</t>
  </si>
  <si>
    <t>JAWA BARAT</t>
  </si>
  <si>
    <t>PERDESAAN</t>
  </si>
  <si>
    <t>DIDI</t>
  </si>
  <si>
    <t>L</t>
  </si>
  <si>
    <t>UDIN</t>
  </si>
  <si>
    <t>SAMAN</t>
  </si>
  <si>
    <t>SOLIHIN</t>
  </si>
  <si>
    <t>RUDI</t>
  </si>
  <si>
    <t>SUHANAH</t>
  </si>
  <si>
    <t>ASEP HIDAYAT</t>
  </si>
  <si>
    <t>ANA</t>
  </si>
  <si>
    <t>DEDI</t>
  </si>
  <si>
    <t>WAWAN</t>
  </si>
  <si>
    <t>ROHMAT</t>
  </si>
  <si>
    <t>RATNA</t>
  </si>
  <si>
    <t>ROHMAN</t>
  </si>
  <si>
    <t>ANIH</t>
  </si>
  <si>
    <t>ADANG</t>
  </si>
  <si>
    <t>CIBODAS</t>
  </si>
  <si>
    <t>ITING</t>
  </si>
  <si>
    <t>IJAH</t>
  </si>
  <si>
    <t>EMAS</t>
  </si>
  <si>
    <t>ETI</t>
  </si>
  <si>
    <t>CIMENYAN</t>
  </si>
  <si>
    <t>YATI</t>
  </si>
  <si>
    <t>SOPIAH</t>
  </si>
  <si>
    <t>AJIJI</t>
  </si>
  <si>
    <t>AMINAH</t>
  </si>
  <si>
    <t>HENDRA</t>
  </si>
  <si>
    <t>ELAH</t>
  </si>
  <si>
    <t>AHMAD</t>
  </si>
  <si>
    <t>NANANG</t>
  </si>
  <si>
    <t>AAH</t>
  </si>
  <si>
    <t>MAMAN</t>
  </si>
  <si>
    <t>AEP</t>
  </si>
  <si>
    <t>IDA</t>
  </si>
  <si>
    <t>YATI SUMIATI</t>
  </si>
  <si>
    <t>SUKAMAJU</t>
  </si>
  <si>
    <t>WATI</t>
  </si>
  <si>
    <t>ANAH</t>
  </si>
  <si>
    <t>SUTISNA</t>
  </si>
  <si>
    <t>EMAN SULAEMAN</t>
  </si>
  <si>
    <t xml:space="preserve">UJANG  </t>
  </si>
  <si>
    <t>CICIH</t>
  </si>
  <si>
    <t>ADE</t>
  </si>
  <si>
    <t>MIMIN</t>
  </si>
  <si>
    <t>KUSNADI</t>
  </si>
  <si>
    <t>ONIH</t>
  </si>
  <si>
    <t>YAYAH</t>
  </si>
  <si>
    <t>ODIH</t>
  </si>
  <si>
    <t>AJA</t>
  </si>
  <si>
    <t>HENDAR</t>
  </si>
  <si>
    <t>WAHYU</t>
  </si>
  <si>
    <t>LILIS</t>
  </si>
  <si>
    <t>EMAN</t>
  </si>
  <si>
    <t>SULAEMAN</t>
  </si>
  <si>
    <t>HIDAYAT</t>
  </si>
  <si>
    <t>AMIN</t>
  </si>
  <si>
    <t>IWAN SETIAWAN</t>
  </si>
  <si>
    <t>JEJEN</t>
  </si>
  <si>
    <t>TINI</t>
  </si>
  <si>
    <t>TATI</t>
  </si>
  <si>
    <t>WAHYUDIN</t>
  </si>
  <si>
    <t>IKAH</t>
  </si>
  <si>
    <t>AHMAD MAULANA</t>
  </si>
  <si>
    <t>ATIH</t>
  </si>
  <si>
    <t>NINING</t>
  </si>
  <si>
    <t>AJAT SUDRAJAT</t>
  </si>
  <si>
    <t>SUNARYA</t>
  </si>
  <si>
    <t>ENTIS SUTISNA</t>
  </si>
  <si>
    <t>MARIAM</t>
  </si>
  <si>
    <t>TAUFIK HIDAYAT</t>
  </si>
  <si>
    <t>DADAN</t>
  </si>
  <si>
    <t>WIWIN</t>
  </si>
  <si>
    <t>ENDANG</t>
  </si>
  <si>
    <t>TITI</t>
  </si>
  <si>
    <t>ENUR</t>
  </si>
  <si>
    <t>USUP</t>
  </si>
  <si>
    <t>IWAN</t>
  </si>
  <si>
    <t>SELAMET</t>
  </si>
  <si>
    <t>CIPARAY</t>
  </si>
  <si>
    <t>KAB. BANDUNG</t>
  </si>
  <si>
    <t>CIWIDEY</t>
  </si>
  <si>
    <t>MAJALAYA</t>
  </si>
  <si>
    <t>PACET</t>
  </si>
  <si>
    <t>AGUS</t>
  </si>
  <si>
    <t>PANGALENGAN</t>
  </si>
  <si>
    <t>PASEH</t>
  </si>
  <si>
    <t>IDAH</t>
  </si>
  <si>
    <t>ISOH</t>
  </si>
  <si>
    <t>EMIS</t>
  </si>
  <si>
    <t>ASIH</t>
  </si>
  <si>
    <t>JANA</t>
  </si>
  <si>
    <t>HADI</t>
  </si>
  <si>
    <t>KOKOM KOMARIAH</t>
  </si>
  <si>
    <t>EMI</t>
  </si>
  <si>
    <t>JURIAH</t>
  </si>
  <si>
    <t>ESIH</t>
  </si>
  <si>
    <t>KOSIM</t>
  </si>
  <si>
    <t>WAHIDIN</t>
  </si>
  <si>
    <t>ENDIN</t>
  </si>
  <si>
    <t>KARNADI</t>
  </si>
  <si>
    <t>SUMBERSARI</t>
  </si>
  <si>
    <t>DADANG</t>
  </si>
  <si>
    <t>ATIK</t>
  </si>
  <si>
    <t>UMAR</t>
  </si>
  <si>
    <t>MASTUR</t>
  </si>
  <si>
    <t>OMIH</t>
  </si>
  <si>
    <t>TARUMAJAYA</t>
  </si>
  <si>
    <t>MARYAM</t>
  </si>
  <si>
    <t>SARI</t>
  </si>
  <si>
    <t>TATA</t>
  </si>
  <si>
    <t>AYIH</t>
  </si>
  <si>
    <t>OMAH</t>
  </si>
  <si>
    <t>ENGKAS</t>
  </si>
  <si>
    <t>KARYATI</t>
  </si>
  <si>
    <t>AJAT</t>
  </si>
  <si>
    <t>SURYANA</t>
  </si>
  <si>
    <t>NANA</t>
  </si>
  <si>
    <t>JATISARI</t>
  </si>
  <si>
    <t>NANDANG</t>
  </si>
  <si>
    <t>JUJU</t>
  </si>
  <si>
    <t>YAYA</t>
  </si>
  <si>
    <t>RAHMAT</t>
  </si>
  <si>
    <t>CUCU</t>
  </si>
  <si>
    <t>ENTANG</t>
  </si>
  <si>
    <t>WARSO</t>
  </si>
  <si>
    <t>OOM</t>
  </si>
  <si>
    <t>ITA</t>
  </si>
  <si>
    <t>KURNIA</t>
  </si>
  <si>
    <t>EMAN SUHERMAN</t>
  </si>
  <si>
    <t>AISAH</t>
  </si>
  <si>
    <t>ARIP</t>
  </si>
  <si>
    <t>YADI</t>
  </si>
  <si>
    <t>YAYAT</t>
  </si>
  <si>
    <t>ROHATI</t>
  </si>
  <si>
    <t>MAESAROH</t>
  </si>
  <si>
    <t>YUYU</t>
  </si>
  <si>
    <t>MULYANA</t>
  </si>
  <si>
    <t>SUPRIATNA</t>
  </si>
  <si>
    <t>SAEPULOH</t>
  </si>
  <si>
    <t>RUKMINI</t>
  </si>
  <si>
    <t>BOJONG</t>
  </si>
  <si>
    <t>ADING</t>
  </si>
  <si>
    <t>SINDANGPANON</t>
  </si>
  <si>
    <t>DIDIN</t>
  </si>
  <si>
    <t>ENGKUS</t>
  </si>
  <si>
    <t>ROHMAT HIDAYAT</t>
  </si>
  <si>
    <t>SAADAH</t>
  </si>
  <si>
    <t>DEDEH</t>
  </si>
  <si>
    <t>OON</t>
  </si>
  <si>
    <t>ONENG</t>
  </si>
  <si>
    <t>YANA</t>
  </si>
  <si>
    <t>ADAS</t>
  </si>
  <si>
    <t>EMUR</t>
  </si>
  <si>
    <t>WAWAN SETIAWAN</t>
  </si>
  <si>
    <t>AEP SAEPUDIN</t>
  </si>
  <si>
    <t>ANAN</t>
  </si>
  <si>
    <t>YULIANTI</t>
  </si>
  <si>
    <t>YAYA SUNARYA</t>
  </si>
  <si>
    <t>SUMIATI</t>
  </si>
  <si>
    <t>ASEP KOMARUDIN</t>
  </si>
  <si>
    <t>APONG</t>
  </si>
  <si>
    <t>SUMARNA</t>
  </si>
  <si>
    <t>MUSTOPA</t>
  </si>
  <si>
    <t>ELAN</t>
  </si>
  <si>
    <t>NUNUNG</t>
  </si>
  <si>
    <t>SAHRONI</t>
  </si>
  <si>
    <t>ATEP</t>
  </si>
  <si>
    <t>MAMAH</t>
  </si>
  <si>
    <t>ANDA</t>
  </si>
  <si>
    <t>IMAN</t>
  </si>
  <si>
    <t>EDI JUNAEDI</t>
  </si>
  <si>
    <t>TATANG SUTISNA</t>
  </si>
  <si>
    <t>CIMAUNG</t>
  </si>
  <si>
    <t>ENA</t>
  </si>
  <si>
    <t/>
  </si>
  <si>
    <t>ROJAK</t>
  </si>
  <si>
    <t>IDI</t>
  </si>
  <si>
    <t>YOYO</t>
  </si>
  <si>
    <t>ETI ROHAETI</t>
  </si>
  <si>
    <t>AAM</t>
  </si>
  <si>
    <t>UJANG SULAEMAN</t>
  </si>
  <si>
    <t>DEDE RUKMANA</t>
  </si>
  <si>
    <t>UNDANG</t>
  </si>
  <si>
    <t>EHA</t>
  </si>
  <si>
    <t>MEMEN</t>
  </si>
  <si>
    <t>AJANG</t>
  </si>
  <si>
    <t>ASEP TATANG</t>
  </si>
  <si>
    <t>UKIN</t>
  </si>
  <si>
    <t>MAYA</t>
  </si>
  <si>
    <t>PANGAUBAN</t>
  </si>
  <si>
    <t>IDANG</t>
  </si>
  <si>
    <t>AGUS MULYADI</t>
  </si>
  <si>
    <t>NURAENI</t>
  </si>
  <si>
    <t>MAMAN SUHERMAN</t>
  </si>
  <si>
    <t>CACIH</t>
  </si>
  <si>
    <t>ALIT</t>
  </si>
  <si>
    <t>DIAN</t>
  </si>
  <si>
    <t>AYAT</t>
  </si>
  <si>
    <t>ATING</t>
  </si>
  <si>
    <t>ENJANG</t>
  </si>
  <si>
    <t>TOTO</t>
  </si>
  <si>
    <t>CILENGKRANG</t>
  </si>
  <si>
    <t>SOLOKANJERUK</t>
  </si>
  <si>
    <t>CILEUNYI</t>
  </si>
  <si>
    <t>YUYUN</t>
  </si>
  <si>
    <t>MARGAASIH</t>
  </si>
  <si>
    <t>IMIK</t>
  </si>
  <si>
    <t>IYAN</t>
  </si>
  <si>
    <t>OPAN SOPANDI</t>
  </si>
  <si>
    <t>UNEN</t>
  </si>
  <si>
    <t>ASEP SUKANDAR</t>
  </si>
  <si>
    <t>ERAT</t>
  </si>
  <si>
    <t>TAHAP IV</t>
  </si>
  <si>
    <t>3204162202740001</t>
  </si>
  <si>
    <t>3204160304058599</t>
  </si>
  <si>
    <t>KP PARAKAN BOLANG RT 003 RW 011</t>
  </si>
  <si>
    <t>ARJASARI</t>
  </si>
  <si>
    <t>3204162904740002</t>
  </si>
  <si>
    <t>3204160404053881</t>
  </si>
  <si>
    <t>KP CIWARU RT 002 RW 003</t>
  </si>
  <si>
    <t>3204164511450003</t>
  </si>
  <si>
    <t>3204162703080001</t>
  </si>
  <si>
    <t>KP MUARA RT 003 RW 015</t>
  </si>
  <si>
    <t>TATANG SONDA</t>
  </si>
  <si>
    <t>3204161202650001</t>
  </si>
  <si>
    <t>3204160304059956</t>
  </si>
  <si>
    <t>KP HAUR JAJAR RT 001 RW 002</t>
  </si>
  <si>
    <t>NINA KARLINA</t>
  </si>
  <si>
    <t>3204164509940001</t>
  </si>
  <si>
    <t>3204163009140004</t>
  </si>
  <si>
    <t>KP ARJASARI RT 006 RW 005</t>
  </si>
  <si>
    <t>3204161106840006</t>
  </si>
  <si>
    <t>3204160910130003</t>
  </si>
  <si>
    <t>KP PARAKAN BOLANG RT 004RW 001</t>
  </si>
  <si>
    <t>AGUS SUKRIMAN</t>
  </si>
  <si>
    <t>3204160902760002</t>
  </si>
  <si>
    <t>3204162605150004</t>
  </si>
  <si>
    <t>KP ARJASARI RT 002RW 007</t>
  </si>
  <si>
    <t>3204160206510001</t>
  </si>
  <si>
    <t>3204160606130016</t>
  </si>
  <si>
    <t>KP.ARJASARI RT 3 RW 8</t>
  </si>
  <si>
    <t>NANDANG TARYANA</t>
  </si>
  <si>
    <t>3204160409880002</t>
  </si>
  <si>
    <t>3204163105130044</t>
  </si>
  <si>
    <t>KP ARJASARI RT 2 RW 5</t>
  </si>
  <si>
    <t>AJANG NANA MULYANA</t>
  </si>
  <si>
    <t>3204161212780001</t>
  </si>
  <si>
    <t>3204161912170004</t>
  </si>
  <si>
    <t>KP.CIBINGBIN RT 1 RW 4</t>
  </si>
  <si>
    <t>3204160107680163</t>
  </si>
  <si>
    <t>3204160304058577</t>
  </si>
  <si>
    <t>KP SUKAMAJU RT 2 RW 11</t>
  </si>
  <si>
    <t>EPON</t>
  </si>
  <si>
    <t>3204165011400005</t>
  </si>
  <si>
    <t>3204160304180007</t>
  </si>
  <si>
    <t>KP.CIBINTINU RT 3 RW 16</t>
  </si>
  <si>
    <t>3204161106540002</t>
  </si>
  <si>
    <t>3204163105130130</t>
  </si>
  <si>
    <t>KP CIBINGBIN RT 2 RW 4</t>
  </si>
  <si>
    <t>3204161507740001</t>
  </si>
  <si>
    <t>3204160606130042</t>
  </si>
  <si>
    <t>KP.PARAKAN BOLANG RT 3 RW 11</t>
  </si>
  <si>
    <t>DESI RAHMAWATI</t>
  </si>
  <si>
    <t>3204165512960007</t>
  </si>
  <si>
    <t>3204160509170005</t>
  </si>
  <si>
    <t>KP CIKIARA RT 003 RW 009</t>
  </si>
  <si>
    <t>RANCAKOLE</t>
  </si>
  <si>
    <t>3204160806860002</t>
  </si>
  <si>
    <t>3204161810060011</t>
  </si>
  <si>
    <t>KP PASIRBATU RT 001 RW 008</t>
  </si>
  <si>
    <t>3204160707640004</t>
  </si>
  <si>
    <t>3204162901130058</t>
  </si>
  <si>
    <t>KP PASIRLETIK RT 002 RW 016</t>
  </si>
  <si>
    <t>WAHYA</t>
  </si>
  <si>
    <t>3204160101740005</t>
  </si>
  <si>
    <t>3204160404055446</t>
  </si>
  <si>
    <t>KP PASIRSEREH RT 001 RW 012</t>
  </si>
  <si>
    <t>DELA</t>
  </si>
  <si>
    <t>3204165810830007</t>
  </si>
  <si>
    <t>3204160807080163</t>
  </si>
  <si>
    <t>KP POJOK RT 003 RW 010</t>
  </si>
  <si>
    <t>DEDE NY</t>
  </si>
  <si>
    <t>3204165103780004</t>
  </si>
  <si>
    <t>3204160404055385</t>
  </si>
  <si>
    <t>KP CIDODOL RT 002 RW 011</t>
  </si>
  <si>
    <t>DERI SULAEMAN</t>
  </si>
  <si>
    <t>3204161105920002</t>
  </si>
  <si>
    <t>3204162110130016</t>
  </si>
  <si>
    <t>KP CIDODOL RT 001 RW 011</t>
  </si>
  <si>
    <t>TARMIDI</t>
  </si>
  <si>
    <t>3175070903740006</t>
  </si>
  <si>
    <t>3173031603111020</t>
  </si>
  <si>
    <t>KP RANCAKOLE RT 001 RW 007</t>
  </si>
  <si>
    <t>PIPIN SUPRIATNA</t>
  </si>
  <si>
    <t>3204161404900002</t>
  </si>
  <si>
    <t>3275032604180017</t>
  </si>
  <si>
    <t>KP PASIRTENGAH RT 001 RW 007</t>
  </si>
  <si>
    <t>LALA NURHADI</t>
  </si>
  <si>
    <t>3204160103660005</t>
  </si>
  <si>
    <t>3204161510120002</t>
  </si>
  <si>
    <t>KP BAHUAN RT 002 RW 014</t>
  </si>
  <si>
    <t>NONENG MULYANI</t>
  </si>
  <si>
    <t>3204164107830186</t>
  </si>
  <si>
    <t>3204160705120004</t>
  </si>
  <si>
    <t>KP RANCASELANG RT 001 RW 013</t>
  </si>
  <si>
    <t>AKRI</t>
  </si>
  <si>
    <t>3204160606650003</t>
  </si>
  <si>
    <t>3204160404056505</t>
  </si>
  <si>
    <t>KP RANCASELANG RT 003 RW 013</t>
  </si>
  <si>
    <t>MUHAMAD ADZCA FIRMANSYAH</t>
  </si>
  <si>
    <t>3204161712040004</t>
  </si>
  <si>
    <t>3204162811250007</t>
  </si>
  <si>
    <t>KP PASIRSEREH RT 003 RW 012</t>
  </si>
  <si>
    <t>TATANG WAHYUDI</t>
  </si>
  <si>
    <t>3204322710820001</t>
  </si>
  <si>
    <t>3204320304200002</t>
  </si>
  <si>
    <t xml:space="preserve">KP CIKADU RT 07 RW 02 </t>
  </si>
  <si>
    <t>JELEKONG</t>
  </si>
  <si>
    <t>BALEENDAH</t>
  </si>
  <si>
    <t>AGUS SOLIHIN</t>
  </si>
  <si>
    <t>3204321612800002</t>
  </si>
  <si>
    <t>3204320806120005</t>
  </si>
  <si>
    <t>3204321008660010</t>
  </si>
  <si>
    <t>3204321611050133</t>
  </si>
  <si>
    <t>KP GUGUNUNGAN RT 06 RW 05</t>
  </si>
  <si>
    <t>3204324507690015</t>
  </si>
  <si>
    <t>3204322511050036</t>
  </si>
  <si>
    <t>KP GUGUNUNGAN RT 01 RW 05</t>
  </si>
  <si>
    <t>ERWIN ERIANSYAH</t>
  </si>
  <si>
    <t>3205150504990002</t>
  </si>
  <si>
    <t>3206153001190002</t>
  </si>
  <si>
    <t>KP GUGUNUNGAN RT 04 RW 05</t>
  </si>
  <si>
    <t>ENAN SUGANDI</t>
  </si>
  <si>
    <t>3204322009740012</t>
  </si>
  <si>
    <t>3204321202140014</t>
  </si>
  <si>
    <t>KP GUGUNUNGAN RT 02 RW 05</t>
  </si>
  <si>
    <t>3204322909690002</t>
  </si>
  <si>
    <t>3204323003054062</t>
  </si>
  <si>
    <t>KP GUGUNUNGAN RT 03 RW 05</t>
  </si>
  <si>
    <t>ODANG SUTISNA</t>
  </si>
  <si>
    <t>3204320907750006</t>
  </si>
  <si>
    <t>3204320112120167</t>
  </si>
  <si>
    <t>KP JELEKONG RT 03 RW 02</t>
  </si>
  <si>
    <t>ASEP SURYANA</t>
  </si>
  <si>
    <t>3204320502920017</t>
  </si>
  <si>
    <t>3204320211220008</t>
  </si>
  <si>
    <t>KP SUKAJADI RT 02 RW 12</t>
  </si>
  <si>
    <t>IDEN</t>
  </si>
  <si>
    <t>3204324405760002</t>
  </si>
  <si>
    <t>3204323003050377</t>
  </si>
  <si>
    <t>KP SUKAJADI RT 03 RW 12</t>
  </si>
  <si>
    <t>DEDI KURNIA</t>
  </si>
  <si>
    <t>3204320305770060</t>
  </si>
  <si>
    <t>3204323103110011</t>
  </si>
  <si>
    <t>KP CANGKRING RT 04 RW 07</t>
  </si>
  <si>
    <t>OBAY SOBARI</t>
  </si>
  <si>
    <t>3204321007530108</t>
  </si>
  <si>
    <t>3204323003051801</t>
  </si>
  <si>
    <t>KP CANGKRING RT 02 RW 07</t>
  </si>
  <si>
    <t>ENJANG MUHIDIN</t>
  </si>
  <si>
    <t>3204321011770021</t>
  </si>
  <si>
    <t>3204320712120046</t>
  </si>
  <si>
    <t>KP LIO RT 02 RW 08</t>
  </si>
  <si>
    <t>HERI ISKANDAR</t>
  </si>
  <si>
    <t>3204322706800002</t>
  </si>
  <si>
    <t>3204321910120162</t>
  </si>
  <si>
    <t>KP CANGKRING  RT 07 RW 07</t>
  </si>
  <si>
    <t>ADAH KOMARIAH</t>
  </si>
  <si>
    <t>3204326511640005</t>
  </si>
  <si>
    <t>3204323009210005</t>
  </si>
  <si>
    <t>KP.KAWUNGSARI RT 03 RW 07</t>
  </si>
  <si>
    <t>WARGAMEKAR</t>
  </si>
  <si>
    <t>ADAH SAADAH</t>
  </si>
  <si>
    <t>3207305502840001</t>
  </si>
  <si>
    <t>3207301901220004</t>
  </si>
  <si>
    <t>KP. KAWUNGSARI RT 03 RW 07</t>
  </si>
  <si>
    <t>AGUS HERMAWAN</t>
  </si>
  <si>
    <t>3204321010880031</t>
  </si>
  <si>
    <t>3204322211070041</t>
  </si>
  <si>
    <t>KP CARINGIN RT: 003 RW: 002 Kelurahan Wargamekar Kecamatan Baleendah</t>
  </si>
  <si>
    <t>AGUS SURYANA</t>
  </si>
  <si>
    <t>3204320302760020</t>
  </si>
  <si>
    <t>3204322608080060</t>
  </si>
  <si>
    <t>KP CIPARIA RT : 003 RT : 014 Kelurahan Wargamekar Kecamatan Baleendah</t>
  </si>
  <si>
    <t>3204322512860009</t>
  </si>
  <si>
    <t>3204322711070265</t>
  </si>
  <si>
    <t>KP KAWUNGSARI RT : 011 RW: 007 Kelurahan Wargamekar Kecamatan Baleendah</t>
  </si>
  <si>
    <t>ATIN MARYATIN</t>
  </si>
  <si>
    <t>3204325012680001</t>
  </si>
  <si>
    <t>3204320710220017</t>
  </si>
  <si>
    <t>KP KAWUNGSARI RT : 003 RW: 007 Kelurahan Wargamekar Kecamatan Baleendah</t>
  </si>
  <si>
    <t>3204325007650002</t>
  </si>
  <si>
    <t>3204322811120051</t>
  </si>
  <si>
    <t>KP KAWUNGSARI RT : 004 RW: 007 Kelurahan Wargamekar Kecamatan Baleendah</t>
  </si>
  <si>
    <t>DIAN TOYO</t>
  </si>
  <si>
    <t>3204320608750020</t>
  </si>
  <si>
    <t>3204320910070000</t>
  </si>
  <si>
    <t>KP CIPARIA RT : 001 RW: 005 Kelurahan Wargamekar Kecamatan Baleendah</t>
  </si>
  <si>
    <t>IWAN RISDIANA</t>
  </si>
  <si>
    <t>3204320911770011</t>
  </si>
  <si>
    <t>3204323003052651</t>
  </si>
  <si>
    <t>KP RANCAMANUK RT 5 RW 13</t>
  </si>
  <si>
    <t>NANDANG SOPIAN</t>
  </si>
  <si>
    <t>3204320505950002</t>
  </si>
  <si>
    <t>3204321005160026</t>
  </si>
  <si>
    <t>KP. PANYAWEUYAN RT 3 RW 16</t>
  </si>
  <si>
    <t>M. YUSUF SAPUTRA</t>
  </si>
  <si>
    <t>3204320711980020</t>
  </si>
  <si>
    <t>3204152607210018</t>
  </si>
  <si>
    <t>KP. KAWUNGSARI RT 7 RW 10</t>
  </si>
  <si>
    <t>3204324511460004</t>
  </si>
  <si>
    <t>3204321911050077</t>
  </si>
  <si>
    <t>KP.CIPARIA. RT 7 RW 5</t>
  </si>
  <si>
    <t>SAROH HIDAYAT</t>
  </si>
  <si>
    <t>3204321708560021</t>
  </si>
  <si>
    <t>3204321306070012</t>
  </si>
  <si>
    <t>KP. KAWUNGSARI RT 5 RW 7</t>
  </si>
  <si>
    <t>DAHRI</t>
  </si>
  <si>
    <t>3204320602450003</t>
  </si>
  <si>
    <t>3204320305060039</t>
  </si>
  <si>
    <t>KP.CILAYUNG RT 5 RW 4</t>
  </si>
  <si>
    <t>DEDEN RAHMAT SOPIAN</t>
  </si>
  <si>
    <t>3204320801890001</t>
  </si>
  <si>
    <t>3204320311140023</t>
  </si>
  <si>
    <t>KP. RANCAMANUK RT 6 RW 13</t>
  </si>
  <si>
    <t>3204134507570001</t>
  </si>
  <si>
    <t>3204131712140005</t>
  </si>
  <si>
    <t>SELAJAMI RT 04 RW 01</t>
  </si>
  <si>
    <t>PASIRMULYA</t>
  </si>
  <si>
    <t>BANJARAN</t>
  </si>
  <si>
    <t>THERESIA RESMIASIH</t>
  </si>
  <si>
    <t>3204135808690002</t>
  </si>
  <si>
    <t>3204130504054321</t>
  </si>
  <si>
    <t>KACA KACA DUA RT 01 RW 03</t>
  </si>
  <si>
    <t>ASEP SAEPUL ANWAR</t>
  </si>
  <si>
    <t>3204130409920002</t>
  </si>
  <si>
    <t>3204130103180016</t>
  </si>
  <si>
    <t>SUKARAHMAT RT 01 RW 05</t>
  </si>
  <si>
    <t>3204134304730001</t>
  </si>
  <si>
    <t>3204130704055811</t>
  </si>
  <si>
    <t>SIRNAGALIH RT 03 RW 06</t>
  </si>
  <si>
    <t>APUD MAHPUDIN</t>
  </si>
  <si>
    <t>3204131005820016</t>
  </si>
  <si>
    <t>3204131804180020</t>
  </si>
  <si>
    <t>KOLELEGA RT 01 RW 07</t>
  </si>
  <si>
    <t>3204133004610001</t>
  </si>
  <si>
    <t>3204131608120003</t>
  </si>
  <si>
    <t>CINANGKA RT 03 Rw 10</t>
  </si>
  <si>
    <t>NANDANG SUHENDI</t>
  </si>
  <si>
    <t>3204130108610003</t>
  </si>
  <si>
    <t>3204132408120040</t>
  </si>
  <si>
    <t>KACA KACA DUA RT 03 RW 11</t>
  </si>
  <si>
    <t>3204130107590006</t>
  </si>
  <si>
    <t>3204130704054001</t>
  </si>
  <si>
    <t>SIRNAGALIH RT 4 RW 6</t>
  </si>
  <si>
    <t>AYI KOMARUDIN</t>
  </si>
  <si>
    <t>3204131602980005</t>
  </si>
  <si>
    <t>3204132211230008</t>
  </si>
  <si>
    <t>KP. KOLELEGA RT 2 RW 9</t>
  </si>
  <si>
    <t>3204130302750011</t>
  </si>
  <si>
    <t>3204132509060107</t>
  </si>
  <si>
    <t>KP. CINANGKA RT 3 RW 10</t>
  </si>
  <si>
    <t>YOYOH ROHAETI</t>
  </si>
  <si>
    <t>3204135108600001</t>
  </si>
  <si>
    <t>3204130909220015</t>
  </si>
  <si>
    <t>KP. BATUNANGTUNG RT 2 RW 8</t>
  </si>
  <si>
    <t>SOPIYAN NUR ALAM</t>
  </si>
  <si>
    <t>3204130308010003</t>
  </si>
  <si>
    <t>3204130303230012</t>
  </si>
  <si>
    <t>KP.MEKAR HAKULAH RT 3 RW 7</t>
  </si>
  <si>
    <t>3204135501490001</t>
  </si>
  <si>
    <t>3204131710220008</t>
  </si>
  <si>
    <t>KP. KACA KACA DUA RT 1 RW 4</t>
  </si>
  <si>
    <t>ECEP DEDIH</t>
  </si>
  <si>
    <t>3204131104820022</t>
  </si>
  <si>
    <t>3204130303110012</t>
  </si>
  <si>
    <t>KP. MEKAR HAKULAH RT 3 RW 7</t>
  </si>
  <si>
    <t>IYA RUSTIANA</t>
  </si>
  <si>
    <t>3204131611630002</t>
  </si>
  <si>
    <t>3204132112120035</t>
  </si>
  <si>
    <t>KP.KOLELEGA  RT 1 RW 9</t>
  </si>
  <si>
    <t>3204172605850001</t>
  </si>
  <si>
    <t>3204132605160020</t>
  </si>
  <si>
    <t>PATALA RT 01 RW 08</t>
  </si>
  <si>
    <t>DEDI KOSWARA</t>
  </si>
  <si>
    <t>3204130809780002</t>
  </si>
  <si>
    <t>3204132201130030</t>
  </si>
  <si>
    <t>BAYONGBONG RT 01 RW 10</t>
  </si>
  <si>
    <t>ARIS ABDUL AZIZ</t>
  </si>
  <si>
    <t>3204131405990008</t>
  </si>
  <si>
    <t>3204132909220020</t>
  </si>
  <si>
    <t>PAMOYANAN RT 01 RW 11</t>
  </si>
  <si>
    <t>ADANG TOHYA</t>
  </si>
  <si>
    <t>3204130703610006</t>
  </si>
  <si>
    <t>3204130504057890</t>
  </si>
  <si>
    <t>CIPARINGGA RT 04 RW 14</t>
  </si>
  <si>
    <t>CECE SETIAWAN</t>
  </si>
  <si>
    <t>3204160209910004</t>
  </si>
  <si>
    <t>3204132404240011</t>
  </si>
  <si>
    <t>KP. SINDANGPANON RT 3 RW 6</t>
  </si>
  <si>
    <t>CECEP GINANJAR</t>
  </si>
  <si>
    <t>3204130301820016</t>
  </si>
  <si>
    <t>3204130311140018</t>
  </si>
  <si>
    <t>KP. PATALA RT 1 RW 8</t>
  </si>
  <si>
    <t>AGUS RANGGA SANTIKA</t>
  </si>
  <si>
    <t>3204162101920003</t>
  </si>
  <si>
    <t>3204133005210001</t>
  </si>
  <si>
    <t>KP. SUKARAME RT 4 RW 1</t>
  </si>
  <si>
    <t>3204130111010008</t>
  </si>
  <si>
    <t>3204130808220009</t>
  </si>
  <si>
    <t>KP. SINDANGSARI RT 2 RW 3</t>
  </si>
  <si>
    <t>RIZKI DINHARI</t>
  </si>
  <si>
    <t>3206051507030002</t>
  </si>
  <si>
    <t>3204131008220003</t>
  </si>
  <si>
    <t>PERUM. PERMATA SINDANGPANON RT 6 RW 15</t>
  </si>
  <si>
    <t>RUDI RUSDIANA</t>
  </si>
  <si>
    <t>3204131702740011</t>
  </si>
  <si>
    <t>3204130609060022</t>
  </si>
  <si>
    <t>BOJONG RT 2 RW 6</t>
  </si>
  <si>
    <t>SIHOMBING</t>
  </si>
  <si>
    <t>3204131004460001</t>
  </si>
  <si>
    <t>3204130504059758</t>
  </si>
  <si>
    <t>SUKARAME II RT 3 RW 1</t>
  </si>
  <si>
    <t>AGUS ZUTIKA</t>
  </si>
  <si>
    <t>3204132012850001</t>
  </si>
  <si>
    <t>3204132710120036</t>
  </si>
  <si>
    <t>KP. SINDANGPANON RT 4 RW 7</t>
  </si>
  <si>
    <t>WAWAN ISWANDI</t>
  </si>
  <si>
    <t>3204133011770001</t>
  </si>
  <si>
    <t>3204131305130101</t>
  </si>
  <si>
    <t>KP.PAMOYANAN  RT 3 RW 11</t>
  </si>
  <si>
    <t>JUJU JUHENDI</t>
  </si>
  <si>
    <t>3204080809680002</t>
  </si>
  <si>
    <t>3204083105051103</t>
  </si>
  <si>
    <t>BOJONGSOANG 04/01</t>
  </si>
  <si>
    <t>BOJONGSOANG</t>
  </si>
  <si>
    <t>DENI SARIFFUDIN</t>
  </si>
  <si>
    <t>3204081902930007</t>
  </si>
  <si>
    <t>3204081009140027</t>
  </si>
  <si>
    <t>CIJAGRA 07/10</t>
  </si>
  <si>
    <t>JUJU JUARIAH</t>
  </si>
  <si>
    <t>3204084609670006</t>
  </si>
  <si>
    <t>3204082111070017</t>
  </si>
  <si>
    <t>CIJAGRA 01/17</t>
  </si>
  <si>
    <t>3204085706470001</t>
  </si>
  <si>
    <t>3204082803190003</t>
  </si>
  <si>
    <t>CIJAGRA 02/10</t>
  </si>
  <si>
    <t>TISNA SONJAYA</t>
  </si>
  <si>
    <t>3204080102780020</t>
  </si>
  <si>
    <t>3204082604055871</t>
  </si>
  <si>
    <t>CIJAGRA 01/09</t>
  </si>
  <si>
    <t>DUDI</t>
  </si>
  <si>
    <t>3204080708810008</t>
  </si>
  <si>
    <t>3204081911120016</t>
  </si>
  <si>
    <t>CIKONENG 03/08</t>
  </si>
  <si>
    <t>ASEP SUMARNA</t>
  </si>
  <si>
    <t>3204080404710008</t>
  </si>
  <si>
    <t>3204083105050866</t>
  </si>
  <si>
    <t>BOJONGSOANG RT 2 RW 2</t>
  </si>
  <si>
    <t>ENDANG KUSNADI</t>
  </si>
  <si>
    <t>3204081703650001</t>
  </si>
  <si>
    <t>3204082604055049</t>
  </si>
  <si>
    <t>BOJONG SOANG RT 4 RW 3</t>
  </si>
  <si>
    <t>3273040808720003</t>
  </si>
  <si>
    <t>3204082107200010</t>
  </si>
  <si>
    <t>JL. BOJONGSOANG GG AL-MANSYUR RT 7 RW 3</t>
  </si>
  <si>
    <t>DUWI PRASETIO</t>
  </si>
  <si>
    <t>3204082709950001</t>
  </si>
  <si>
    <t>3204082908180003</t>
  </si>
  <si>
    <t>JL CIKONENG RT 7 RW 7</t>
  </si>
  <si>
    <t>IYAN  SUPIANDI</t>
  </si>
  <si>
    <t>3204082711530001</t>
  </si>
  <si>
    <t>3204082504055742</t>
  </si>
  <si>
    <t>BOJONGSOANG RT 6 RW 12</t>
  </si>
  <si>
    <t>AEPUDIN</t>
  </si>
  <si>
    <t>3204080206690009</t>
  </si>
  <si>
    <t>3204082504058899</t>
  </si>
  <si>
    <t>KP. CIKONENG.  RT 1 RW 7</t>
  </si>
  <si>
    <t>3204250303650001</t>
  </si>
  <si>
    <t>3204251912060027</t>
  </si>
  <si>
    <t>Kp. Babakan Peuteuy RT 003 RW 008</t>
  </si>
  <si>
    <t>BABAKAN PEUTEUY</t>
  </si>
  <si>
    <t>CICALENGKA</t>
  </si>
  <si>
    <t>IRFAN RIFANDI</t>
  </si>
  <si>
    <t>3217113103940002</t>
  </si>
  <si>
    <t>3204250412230003</t>
  </si>
  <si>
    <t>Kp. Cikopo RT 001 RW 005</t>
  </si>
  <si>
    <t>ANI HARYATI</t>
  </si>
  <si>
    <t>3204255808830024</t>
  </si>
  <si>
    <t>3204253005220012</t>
  </si>
  <si>
    <t>3204251008900005</t>
  </si>
  <si>
    <t>3204250405120005</t>
  </si>
  <si>
    <t>Kp. Cikopo RT 002 RW 005</t>
  </si>
  <si>
    <t>TOPIK  KOMARUDIN</t>
  </si>
  <si>
    <t>3204251502790001</t>
  </si>
  <si>
    <t>3204250212120017</t>
  </si>
  <si>
    <t>Kp. Malingping RT 003 RW 005</t>
  </si>
  <si>
    <t>3204254408450002</t>
  </si>
  <si>
    <t>3204252203057763</t>
  </si>
  <si>
    <t>Kp. Beor RT 001 RW 009</t>
  </si>
  <si>
    <t>JAJANG JUHANA</t>
  </si>
  <si>
    <t>3204251904720013</t>
  </si>
  <si>
    <t>3204250706110012</t>
  </si>
  <si>
    <t>Kp. Beor RT 002 RW 009</t>
  </si>
  <si>
    <t>3204250611810005</t>
  </si>
  <si>
    <t>3204250906050012</t>
  </si>
  <si>
    <t>Kp. Babakan Peuteuy RT 001 RW 008</t>
  </si>
  <si>
    <t>3204250604780004</t>
  </si>
  <si>
    <t>3204252005050053</t>
  </si>
  <si>
    <t>Kp. Babakan Peuteuy RT 002 RW 007</t>
  </si>
  <si>
    <t>PENDI RUSWENDI</t>
  </si>
  <si>
    <t>3204251503850014</t>
  </si>
  <si>
    <t>3204252705110008</t>
  </si>
  <si>
    <t>Kp. Babakan Peuteuy RT 003 RW 007</t>
  </si>
  <si>
    <t>ENJANG SAEPUDIN</t>
  </si>
  <si>
    <t>3204250107810001</t>
  </si>
  <si>
    <t>3204251409170001</t>
  </si>
  <si>
    <t>KP. CIMAUNG PAEH RT.001/RW.002</t>
  </si>
  <si>
    <t>TANJUNGWANGI</t>
  </si>
  <si>
    <t>3204250404700005</t>
  </si>
  <si>
    <t>3204252303051155</t>
  </si>
  <si>
    <t xml:space="preserve">KP. CIJAHA RT.001 / RW.002 </t>
  </si>
  <si>
    <t>3204250312770003</t>
  </si>
  <si>
    <t>3204250401060037</t>
  </si>
  <si>
    <t>KP. CIJAHA RT.002 / RW.002</t>
  </si>
  <si>
    <t>WANGSIH</t>
  </si>
  <si>
    <t>3204256101630008</t>
  </si>
  <si>
    <t>3204250608080009</t>
  </si>
  <si>
    <t xml:space="preserve">KP. CIJAHA RT.002 / RW.002 </t>
  </si>
  <si>
    <t>3204250703700007</t>
  </si>
  <si>
    <t>3204250401060032</t>
  </si>
  <si>
    <t xml:space="preserve">KP. CIJAHA RT.003 / RW.002 </t>
  </si>
  <si>
    <t>EUIS NURHAYATI</t>
  </si>
  <si>
    <t>3204255602860012</t>
  </si>
  <si>
    <t>3204252203110014</t>
  </si>
  <si>
    <t>3204250610720004</t>
  </si>
  <si>
    <t>3204250301060014</t>
  </si>
  <si>
    <t xml:space="preserve">KP. CIJAHA RT.004/RW.002 </t>
  </si>
  <si>
    <t>3204250309600001</t>
  </si>
  <si>
    <t>3204252303050980</t>
  </si>
  <si>
    <t>KP. CIBUNTU RT.001/RW.009</t>
  </si>
  <si>
    <t>DEDE SULAEMAN</t>
  </si>
  <si>
    <t>3204251011820023</t>
  </si>
  <si>
    <t>3204252005110121</t>
  </si>
  <si>
    <t>KP. CIGADOG RT.003/RW.009</t>
  </si>
  <si>
    <t>3204254610820006</t>
  </si>
  <si>
    <t>3204250506060097</t>
  </si>
  <si>
    <t>TARLAN</t>
  </si>
  <si>
    <t>3211152208650001</t>
  </si>
  <si>
    <t>3211151703061941</t>
  </si>
  <si>
    <t>3204254101470074</t>
  </si>
  <si>
    <t>3204252002180010</t>
  </si>
  <si>
    <t>3204250107730167</t>
  </si>
  <si>
    <t>3204252303051367</t>
  </si>
  <si>
    <t>KP. LOAJOGO RT.001/RW.008</t>
  </si>
  <si>
    <t>3204250703690001</t>
  </si>
  <si>
    <t>3204252303051403</t>
  </si>
  <si>
    <t>KP. CIAWITALI RT.002/RW.008</t>
  </si>
  <si>
    <t>3204250101630137</t>
  </si>
  <si>
    <t>3204252005110143</t>
  </si>
  <si>
    <t>YUSUP SUPRIADI</t>
  </si>
  <si>
    <t>3211130112900001</t>
  </si>
  <si>
    <t>3204251703200003</t>
  </si>
  <si>
    <t>AAN RUKMANA</t>
  </si>
  <si>
    <t>3204250107850087</t>
  </si>
  <si>
    <t>3204251006150005</t>
  </si>
  <si>
    <t>KP. CIAWITALI RT.001/RW.008</t>
  </si>
  <si>
    <t>IKING</t>
  </si>
  <si>
    <t>3204251809740002</t>
  </si>
  <si>
    <t>3204252303051451</t>
  </si>
  <si>
    <t>3204250503550003</t>
  </si>
  <si>
    <t>3204252608050454</t>
  </si>
  <si>
    <t>3204271504560001</t>
  </si>
  <si>
    <t>3204272003051485</t>
  </si>
  <si>
    <t>KP SANGKALI</t>
  </si>
  <si>
    <t>CIHANYIR</t>
  </si>
  <si>
    <t>CIKANCUNG</t>
  </si>
  <si>
    <t>UJANG NURJAMAN</t>
  </si>
  <si>
    <t>3204271306800003</t>
  </si>
  <si>
    <t>3204272407120030</t>
  </si>
  <si>
    <t>KP CIHANYIR LOA</t>
  </si>
  <si>
    <t>WIDIA ANDRIYANI</t>
  </si>
  <si>
    <t>3204276007880002</t>
  </si>
  <si>
    <t>3204272402210009</t>
  </si>
  <si>
    <t>ENJANG SULAEMAN</t>
  </si>
  <si>
    <t>3204270707810002</t>
  </si>
  <si>
    <t>3204271311060022</t>
  </si>
  <si>
    <t>KP PASANTREN</t>
  </si>
  <si>
    <t>SITI NURJANAH</t>
  </si>
  <si>
    <t>3204274510860001</t>
  </si>
  <si>
    <t>3204271807120044</t>
  </si>
  <si>
    <t>KP NANGELA</t>
  </si>
  <si>
    <t>RENIE PEBRIANTI</t>
  </si>
  <si>
    <t>3204274502900001</t>
  </si>
  <si>
    <t>3204270501150029</t>
  </si>
  <si>
    <t>3204275403020002</t>
  </si>
  <si>
    <t>3204272901210008</t>
  </si>
  <si>
    <t>3204274107550024</t>
  </si>
  <si>
    <t>3204272106150001</t>
  </si>
  <si>
    <t>KP PALIMPING</t>
  </si>
  <si>
    <t>SITI SA'ADAH</t>
  </si>
  <si>
    <t>3204276001960002</t>
  </si>
  <si>
    <t>3204271610130004</t>
  </si>
  <si>
    <t>3204270105920005</t>
  </si>
  <si>
    <t>3204270407140002</t>
  </si>
  <si>
    <t>KP MANABAYA</t>
  </si>
  <si>
    <t>NENG RINA MARLIANA</t>
  </si>
  <si>
    <t>3204274910910003</t>
  </si>
  <si>
    <t>3204273105110165</t>
  </si>
  <si>
    <t>U DAUD</t>
  </si>
  <si>
    <t>3204270703570001</t>
  </si>
  <si>
    <t>3204272003053108</t>
  </si>
  <si>
    <t>KP CANTILAN</t>
  </si>
  <si>
    <t>3204271811810001</t>
  </si>
  <si>
    <t>3204271105130024</t>
  </si>
  <si>
    <t>ENANG SUPRIATNA</t>
  </si>
  <si>
    <t>3204271006850002</t>
  </si>
  <si>
    <t>3204270507150002</t>
  </si>
  <si>
    <t>DADAH SAADAH</t>
  </si>
  <si>
    <t>3204275001670005</t>
  </si>
  <si>
    <t>3204272701230002</t>
  </si>
  <si>
    <t>3204274608780018</t>
  </si>
  <si>
    <t>3204270105070001</t>
  </si>
  <si>
    <t>DEDI AHI</t>
  </si>
  <si>
    <t>3204271510680002</t>
  </si>
  <si>
    <t>3204272003050773</t>
  </si>
  <si>
    <t>3204274501680001</t>
  </si>
  <si>
    <t>3204270207200002</t>
  </si>
  <si>
    <t>KP BOJONGKASO</t>
  </si>
  <si>
    <t>RIKI YAHYA</t>
  </si>
  <si>
    <t>3204271012010002</t>
  </si>
  <si>
    <t>3204271811200007</t>
  </si>
  <si>
    <t>KP. CANTILAN RT. 02 RW. 13</t>
  </si>
  <si>
    <t>ELIS IRAT</t>
  </si>
  <si>
    <t>3204275403650001</t>
  </si>
  <si>
    <t>3204272003050744</t>
  </si>
  <si>
    <t>Kp.babakan palingping RT 02 RW 12</t>
  </si>
  <si>
    <t>3204271502590001</t>
  </si>
  <si>
    <t>3204272003052209</t>
  </si>
  <si>
    <t xml:space="preserve">Kp Ragas </t>
  </si>
  <si>
    <t>CILULUK</t>
  </si>
  <si>
    <t>3204274101600056</t>
  </si>
  <si>
    <t>3204272003052564</t>
  </si>
  <si>
    <t>Kp Ragas</t>
  </si>
  <si>
    <t>DEDE APID</t>
  </si>
  <si>
    <t>3204270205630002</t>
  </si>
  <si>
    <t>3204272802060002</t>
  </si>
  <si>
    <t>3204274101500020</t>
  </si>
  <si>
    <t>3204271108120016</t>
  </si>
  <si>
    <t>INTAN KURNIA</t>
  </si>
  <si>
    <t>3204274702940004</t>
  </si>
  <si>
    <t>3204272301110012</t>
  </si>
  <si>
    <t>KP. RAGAS RT 02 RW 04 DESA CILULUK KECAMATAN CIKANCUNG</t>
  </si>
  <si>
    <t>INDRA LESMANA</t>
  </si>
  <si>
    <t>3204271204950001</t>
  </si>
  <si>
    <t>3204270612210007</t>
  </si>
  <si>
    <t>KP. RAGAS RT 05 RW 04 DESA CILULUK KECAMATAN CIKANCUG</t>
  </si>
  <si>
    <t>3204271209690002</t>
  </si>
  <si>
    <t>3204272711120028</t>
  </si>
  <si>
    <t>KP. SINDANGSARI</t>
  </si>
  <si>
    <t>UJANG OHAN</t>
  </si>
  <si>
    <t>3204271007870006</t>
  </si>
  <si>
    <t>3204270309120066</t>
  </si>
  <si>
    <t>KP. SINDANGSARI RT 02 RW 06 DESA CILULUK KECAMATAN CIKANCUNG</t>
  </si>
  <si>
    <t>NYI YANTI</t>
  </si>
  <si>
    <t>3204275605890002</t>
  </si>
  <si>
    <t>3204272106210003</t>
  </si>
  <si>
    <t>KP. BARUDATAR RT 4 RW 10</t>
  </si>
  <si>
    <t>EPUL SAEPULOH</t>
  </si>
  <si>
    <t>3204271109990002</t>
  </si>
  <si>
    <t>3204270308230002</t>
  </si>
  <si>
    <t>KP. RAGAS. RT 3 RW 4</t>
  </si>
  <si>
    <t>3204270911770002</t>
  </si>
  <si>
    <t>3204272003050535</t>
  </si>
  <si>
    <t>KP GOROWEK RT 2 RW 8</t>
  </si>
  <si>
    <t>UJANG WAWAN</t>
  </si>
  <si>
    <t>3204270310980003</t>
  </si>
  <si>
    <t>3204270802190002</t>
  </si>
  <si>
    <t>KP PANGADUNGAN RT 3 RW 5</t>
  </si>
  <si>
    <t>AOS</t>
  </si>
  <si>
    <t>3204272504650001</t>
  </si>
  <si>
    <t>3204272005110006</t>
  </si>
  <si>
    <t>KP. CILOA RT 1 RW 8</t>
  </si>
  <si>
    <t>3204274101700077</t>
  </si>
  <si>
    <t>3204270107180002</t>
  </si>
  <si>
    <t>KP. RAGAS RT 5 RW 4</t>
  </si>
  <si>
    <t>EULIS WARYATI</t>
  </si>
  <si>
    <t>3204075204750004</t>
  </si>
  <si>
    <t>3204078209210008</t>
  </si>
  <si>
    <t>Kp Garung Rt02 Rw09</t>
  </si>
  <si>
    <t>AI CICAH HAYATI</t>
  </si>
  <si>
    <t>3204074607830004</t>
  </si>
  <si>
    <t>3204072704054417</t>
  </si>
  <si>
    <t>ENUNG RANI</t>
  </si>
  <si>
    <t>3204075703790003</t>
  </si>
  <si>
    <t>3204070507220001</t>
  </si>
  <si>
    <t>Kp Cipulis Rt02 Rw08</t>
  </si>
  <si>
    <t>DEWI NURHAYATI</t>
  </si>
  <si>
    <t>3204076512880004</t>
  </si>
  <si>
    <t>3204072708220002</t>
  </si>
  <si>
    <t>Kp Pasir Angin Rt02 Rw06</t>
  </si>
  <si>
    <t>3204076502500001</t>
  </si>
  <si>
    <t>3204071106240003</t>
  </si>
  <si>
    <t>Kp Cipulus Rt01 Rw08</t>
  </si>
  <si>
    <t>SUMINAR</t>
  </si>
  <si>
    <t>3204054707560003</t>
  </si>
  <si>
    <t>3204070809140001</t>
  </si>
  <si>
    <t>ENENG NURHAYATI</t>
  </si>
  <si>
    <t>3204075110990001</t>
  </si>
  <si>
    <t>3204072709160021</t>
  </si>
  <si>
    <t>Kp Cipulis Rt02 Rw02</t>
  </si>
  <si>
    <t>3204074301470001</t>
  </si>
  <si>
    <t>3204072804050518</t>
  </si>
  <si>
    <t>JL PASIR ANGIN RT 2 RW 6</t>
  </si>
  <si>
    <t>ARI SURYANA</t>
  </si>
  <si>
    <t>3204070107960035</t>
  </si>
  <si>
    <t>3204072202210001</t>
  </si>
  <si>
    <t>KP GARUNG RT 3 RW 9</t>
  </si>
  <si>
    <t>3204071309600001</t>
  </si>
  <si>
    <t>3204072804050513</t>
  </si>
  <si>
    <t>PASIR ANGIN RT 2 RW 6</t>
  </si>
  <si>
    <t>3204075908580001</t>
  </si>
  <si>
    <t>3204072804050508</t>
  </si>
  <si>
    <t>3204120107830003</t>
  </si>
  <si>
    <t>3204072803140002</t>
  </si>
  <si>
    <t>KP CIWARU RT 1 RW 4</t>
  </si>
  <si>
    <t>3204072210970004</t>
  </si>
  <si>
    <t>3205211401190001</t>
  </si>
  <si>
    <t>KP CIPULUS RT 2 RW 2</t>
  </si>
  <si>
    <t>3204072007760006</t>
  </si>
  <si>
    <t>3204071405110009</t>
  </si>
  <si>
    <t>Kp Cigarukgak Rt04 Rw11</t>
  </si>
  <si>
    <t>GIRIMEKAR</t>
  </si>
  <si>
    <t>ASEP HENDRA</t>
  </si>
  <si>
    <t>3204070503810009</t>
  </si>
  <si>
    <t>3204070407070020</t>
  </si>
  <si>
    <t>3204076509700001</t>
  </si>
  <si>
    <t>3204072907150005</t>
  </si>
  <si>
    <t>Kp Cigorowong Rt03 Rw15</t>
  </si>
  <si>
    <t>DWI YULIANTI</t>
  </si>
  <si>
    <t>3204075309910002</t>
  </si>
  <si>
    <t>3204071708120025</t>
  </si>
  <si>
    <t>Kp Sekemandung Rt03 Rw14</t>
  </si>
  <si>
    <t>IDA LAILA</t>
  </si>
  <si>
    <t>3204074102820008</t>
  </si>
  <si>
    <t>3204072201070008</t>
  </si>
  <si>
    <t>Kp Cigorowong Rt02 Rw15</t>
  </si>
  <si>
    <t>WARI LAELASARI</t>
  </si>
  <si>
    <t>3204075212620004</t>
  </si>
  <si>
    <t>3204072612170009</t>
  </si>
  <si>
    <t>Kp Cigarukgak Rt01 Rw12</t>
  </si>
  <si>
    <t>FIFIH SOFYAH</t>
  </si>
  <si>
    <t>3204076107510001</t>
  </si>
  <si>
    <t>3204072704051678</t>
  </si>
  <si>
    <t>Kp Cigarukgak Rt02 Rw12</t>
  </si>
  <si>
    <t>EULIS SULASTRI</t>
  </si>
  <si>
    <t>3204074802880001</t>
  </si>
  <si>
    <t>3204070710080002</t>
  </si>
  <si>
    <t>Kp Balong Saladah Rt04 Rw10</t>
  </si>
  <si>
    <t>3204074905720002</t>
  </si>
  <si>
    <t>3204070301060014</t>
  </si>
  <si>
    <t>Kp Legok Hayam Rt03 Rw09</t>
  </si>
  <si>
    <t>3204075901530002</t>
  </si>
  <si>
    <t>3204072811220004</t>
  </si>
  <si>
    <t>KP. CIGIRNGSING RT 1 RW 18</t>
  </si>
  <si>
    <t>W A W A N</t>
  </si>
  <si>
    <t>3204070609650002</t>
  </si>
  <si>
    <t>3204071107080014</t>
  </si>
  <si>
    <t>KP. CIGARUKGAK KIDUL RT 3 RW 12</t>
  </si>
  <si>
    <t>3204075103530001</t>
  </si>
  <si>
    <t>3204071503160004</t>
  </si>
  <si>
    <t>KP. CILAJA TENGAH RT 2 RW 4</t>
  </si>
  <si>
    <t>HERI PUJIMARGONO</t>
  </si>
  <si>
    <t>3204072107910001</t>
  </si>
  <si>
    <t>3204070102160005</t>
  </si>
  <si>
    <t>KP SEKEMANDUNG RT 1 RW 14</t>
  </si>
  <si>
    <t>BERY MUSTOFA</t>
  </si>
  <si>
    <t>3204061804980005</t>
  </si>
  <si>
    <t>3204072403200006</t>
  </si>
  <si>
    <t>KP CIGIRINGSING RT 2 RW 16</t>
  </si>
  <si>
    <t>SAHLI SOMALI</t>
  </si>
  <si>
    <t>3204072802700001</t>
  </si>
  <si>
    <t>3204072607130010</t>
  </si>
  <si>
    <t>KP LEGOK HAYAM RT 1 RW 9</t>
  </si>
  <si>
    <t>APONG ONAS</t>
  </si>
  <si>
    <t>3204055810540002</t>
  </si>
  <si>
    <t>3204052312050005</t>
  </si>
  <si>
    <t>KP. DEMAH LUHUR RT 01 RW 01</t>
  </si>
  <si>
    <t>CILEUNYI KULON</t>
  </si>
  <si>
    <t>APON SURYATI</t>
  </si>
  <si>
    <t>3204054309720002</t>
  </si>
  <si>
    <t>3204052704055625</t>
  </si>
  <si>
    <t>KP. SEKEJENGKOL RT 01 RW 02</t>
  </si>
  <si>
    <t>AGUS ENUH</t>
  </si>
  <si>
    <t>3204051707680001</t>
  </si>
  <si>
    <t>3204051012070006</t>
  </si>
  <si>
    <t>KP. MANJAH BEUREUM RT 02 RW 03</t>
  </si>
  <si>
    <t>IYAN SOPIAN</t>
  </si>
  <si>
    <t>3204051006840002</t>
  </si>
  <si>
    <t>3204050805140012</t>
  </si>
  <si>
    <t>KP. CIKANDANG RT 04 RW 06</t>
  </si>
  <si>
    <t>3204050506550003</t>
  </si>
  <si>
    <t>3204052604055643</t>
  </si>
  <si>
    <t>KP. CIKALANG RT 01 RW 08</t>
  </si>
  <si>
    <t>3204054202510005</t>
  </si>
  <si>
    <t>3204052510130021</t>
  </si>
  <si>
    <t>KP. CIKALANG RT 02 RW 09</t>
  </si>
  <si>
    <t>3204055509860015</t>
  </si>
  <si>
    <t>3204051705110645</t>
  </si>
  <si>
    <t>KP. CIBAGBAGAN RT 04 RW 10</t>
  </si>
  <si>
    <t>3204054509530007</t>
  </si>
  <si>
    <t>3204051203130011</t>
  </si>
  <si>
    <t>KP. CIKALANG RT 03 RW 12</t>
  </si>
  <si>
    <t>IWAN GUNAWAN</t>
  </si>
  <si>
    <t>3204052103670010</t>
  </si>
  <si>
    <t>3204051705110054</t>
  </si>
  <si>
    <t>KP. CIHALIWUNG RT 04 RW 14</t>
  </si>
  <si>
    <t>TAUFIK QULLOH</t>
  </si>
  <si>
    <t>3204051607020001</t>
  </si>
  <si>
    <t>3204052510130020</t>
  </si>
  <si>
    <t>CIKALANG RT 2 RW 9</t>
  </si>
  <si>
    <t>RINA</t>
  </si>
  <si>
    <t>3204055508730011</t>
  </si>
  <si>
    <t>3204052704059279</t>
  </si>
  <si>
    <t>KP. CIKALANG RT 3 RW 9</t>
  </si>
  <si>
    <t>HENDRA EFENDI</t>
  </si>
  <si>
    <t>3204051604710002</t>
  </si>
  <si>
    <t>3204052704050488</t>
  </si>
  <si>
    <t>KP. CILEUNYI RT 2 RW 23</t>
  </si>
  <si>
    <t>ADING KOMALUDIN</t>
  </si>
  <si>
    <t>3204050412720012</t>
  </si>
  <si>
    <t>3204051801070017</t>
  </si>
  <si>
    <t>KP. SEKEJENGKOL RT 1 RW 2</t>
  </si>
  <si>
    <t>DAHLAN SETIAWAN</t>
  </si>
  <si>
    <t>3204051101900003</t>
  </si>
  <si>
    <t>3204050503130001</t>
  </si>
  <si>
    <t>KP. CIJATI RT 4 RW 3</t>
  </si>
  <si>
    <t>TUSIMIN</t>
  </si>
  <si>
    <t>3204323112800002</t>
  </si>
  <si>
    <t>3302071901160007</t>
  </si>
  <si>
    <t>KP. BABAKAN KINIM RT 2 RW 15</t>
  </si>
  <si>
    <t>3204172004550001</t>
  </si>
  <si>
    <t>3204172410080024</t>
  </si>
  <si>
    <t>KP, PASIRHUNI RT/RW 05/06</t>
  </si>
  <si>
    <t>PASIRHUNI</t>
  </si>
  <si>
    <t>YUYUN WIDANINGSIH</t>
  </si>
  <si>
    <t>3204175210860004</t>
  </si>
  <si>
    <t>3204170803060010</t>
  </si>
  <si>
    <t>KP, PAGENINGAN RT/RW 04/01</t>
  </si>
  <si>
    <t>3204170306660001</t>
  </si>
  <si>
    <t>3204170707060013</t>
  </si>
  <si>
    <t>KP, CIAWIGEDE RT/RW 01/08</t>
  </si>
  <si>
    <t>OPO</t>
  </si>
  <si>
    <t>3204170206600001</t>
  </si>
  <si>
    <t>3204171303055952</t>
  </si>
  <si>
    <t>KP, SEKARTOYA RT/RW 04/03</t>
  </si>
  <si>
    <t>DASTO</t>
  </si>
  <si>
    <t>3204170103600006</t>
  </si>
  <si>
    <t>3204171303055938</t>
  </si>
  <si>
    <t>KP, SEKARTOYA RT/RW 03/03</t>
  </si>
  <si>
    <t>THOLIB</t>
  </si>
  <si>
    <t>3204170202800019</t>
  </si>
  <si>
    <t>3204171910070018</t>
  </si>
  <si>
    <t>KP, PASIRHUNI RT/RW 02/06</t>
  </si>
  <si>
    <t>3204170504650002</t>
  </si>
  <si>
    <t>3204170705120011</t>
  </si>
  <si>
    <t>KP, PASIRHUNI RT/RW 03/06</t>
  </si>
  <si>
    <t>3204170502700010</t>
  </si>
  <si>
    <t>3204170907080051</t>
  </si>
  <si>
    <t>KP, CIAWITALI RT/RW 01/07</t>
  </si>
  <si>
    <t>CARMANA</t>
  </si>
  <si>
    <t>3204170307870006</t>
  </si>
  <si>
    <t>3204170207080036</t>
  </si>
  <si>
    <t>3204170210750005</t>
  </si>
  <si>
    <t>3204173006080209</t>
  </si>
  <si>
    <t>KP, CIAWITALI RT/RW 03/07</t>
  </si>
  <si>
    <t>RATNANINGRUM</t>
  </si>
  <si>
    <t>3204177001840027</t>
  </si>
  <si>
    <t>3204171303059097</t>
  </si>
  <si>
    <t>KP, PASIRHUNI RT/RW 01/06</t>
  </si>
  <si>
    <t>3204174101440006</t>
  </si>
  <si>
    <t>3204171310120036</t>
  </si>
  <si>
    <t>CECEP TATAN</t>
  </si>
  <si>
    <t>3204172605770001</t>
  </si>
  <si>
    <t>3204171303055881</t>
  </si>
  <si>
    <t>KP, KIBODAS RT/RW 07/07</t>
  </si>
  <si>
    <t>3204175601600001</t>
  </si>
  <si>
    <t>3204171003150006</t>
  </si>
  <si>
    <t>3204174104540007</t>
  </si>
  <si>
    <t>3204171701110014</t>
  </si>
  <si>
    <t>KP, PASIRHUNI RT/RW 02/02</t>
  </si>
  <si>
    <t>DEDE RAHMAN KURNIAWAN</t>
  </si>
  <si>
    <t>3204172803020006</t>
  </si>
  <si>
    <t>3204172803220005</t>
  </si>
  <si>
    <t>ADIN SUPRIADIN</t>
  </si>
  <si>
    <t>3204062807570002</t>
  </si>
  <si>
    <t>3204062907080040</t>
  </si>
  <si>
    <t>Ligar Seroja Dalam 001/023</t>
  </si>
  <si>
    <t>CIBEUNYING</t>
  </si>
  <si>
    <t>ROHENDI</t>
  </si>
  <si>
    <t>3204060202860009</t>
  </si>
  <si>
    <t>3204060109070174</t>
  </si>
  <si>
    <t>Ligar Jaya Dalam 003/023</t>
  </si>
  <si>
    <t>3204061208640002</t>
  </si>
  <si>
    <t>3204062804050153</t>
  </si>
  <si>
    <t>Ligar Melati Dalam 004/023</t>
  </si>
  <si>
    <t>ADENG</t>
  </si>
  <si>
    <t>3204060107620095</t>
  </si>
  <si>
    <t>3204061404230002</t>
  </si>
  <si>
    <t>KP.JIWANAYA RT 3 RW 4</t>
  </si>
  <si>
    <t>YULI</t>
  </si>
  <si>
    <t>3301176505700001</t>
  </si>
  <si>
    <t>3204061403230010</t>
  </si>
  <si>
    <t>JL. BOJONG KONENG ATAS RT 2 RW 19</t>
  </si>
  <si>
    <t>CAHYA</t>
  </si>
  <si>
    <t>3204060604700001</t>
  </si>
  <si>
    <t>3204062804054650</t>
  </si>
  <si>
    <t>JL. AWILIGAR KP. CIBUNTU RT 4 RW 24</t>
  </si>
  <si>
    <t>UMARAN</t>
  </si>
  <si>
    <t>3204060503720001</t>
  </si>
  <si>
    <t>3204062604050712</t>
  </si>
  <si>
    <t>KP. AWILIGAR RT 10 RW 10</t>
  </si>
  <si>
    <t>3204060610750001</t>
  </si>
  <si>
    <t>3204060205070004</t>
  </si>
  <si>
    <t>SEKEMERAK NO. 72 RT 4 RW 17</t>
  </si>
  <si>
    <t>JUBAETI</t>
  </si>
  <si>
    <t>3204065506460001</t>
  </si>
  <si>
    <t>3204062210140011</t>
  </si>
  <si>
    <t>BOJONG KACOR RT 4 RW 14</t>
  </si>
  <si>
    <t>IQBAL MULYANA</t>
  </si>
  <si>
    <t>3273181109990007</t>
  </si>
  <si>
    <t>3204061101230007</t>
  </si>
  <si>
    <t>JL.CIJOTANG NO 179  RT 4 RW 3</t>
  </si>
  <si>
    <t>SRI ATUN</t>
  </si>
  <si>
    <t>3204065608580005</t>
  </si>
  <si>
    <t>3204061403060016</t>
  </si>
  <si>
    <t>KP. CIBUNTU RT 1 RW 24</t>
  </si>
  <si>
    <t>3204064107730014</t>
  </si>
  <si>
    <t>3204061808210011</t>
  </si>
  <si>
    <t>PAGER SARI RT 1 RW 20</t>
  </si>
  <si>
    <t>3204065512660002</t>
  </si>
  <si>
    <t>3204061208200010</t>
  </si>
  <si>
    <t>KP. CIJOTANG RT 3 RW 8</t>
  </si>
  <si>
    <t>AHMAD SOLEH</t>
  </si>
  <si>
    <t>3204060501510002</t>
  </si>
  <si>
    <t>3204062804054620</t>
  </si>
  <si>
    <t>KP. CIBUNTU AWILIGAR RT 3 RW 24</t>
  </si>
  <si>
    <t>3204065202030010</t>
  </si>
  <si>
    <t>3204061106250010</t>
  </si>
  <si>
    <t>KP.CIHARALANG RT 003/002</t>
  </si>
  <si>
    <t>MEKARSALUYU</t>
  </si>
  <si>
    <t>3204060101820019</t>
  </si>
  <si>
    <t>3204062804054305</t>
  </si>
  <si>
    <t>KP.TUGU RT 001/ 006</t>
  </si>
  <si>
    <t>HENDRIYANA KUSTIAWAN</t>
  </si>
  <si>
    <t>3273141701010001</t>
  </si>
  <si>
    <t>3204061910210007</t>
  </si>
  <si>
    <t>Pasir pogor RT 04/RW 05</t>
  </si>
  <si>
    <t>3204060905820009</t>
  </si>
  <si>
    <t>3204061001012003</t>
  </si>
  <si>
    <t>KP. Cikahurupan RT 02/RW 04</t>
  </si>
  <si>
    <t>SIGIT WIDODO</t>
  </si>
  <si>
    <t>3207183008910003</t>
  </si>
  <si>
    <t>3204062604160001</t>
  </si>
  <si>
    <t>3204060211510003</t>
  </si>
  <si>
    <t>3204060410070027</t>
  </si>
  <si>
    <t>OJA SUHARJA</t>
  </si>
  <si>
    <t>3204061505770004</t>
  </si>
  <si>
    <t>3204061904130007</t>
  </si>
  <si>
    <t>Kp. Cikahuripan RT 002 RW 004</t>
  </si>
  <si>
    <t>3204065206730002</t>
  </si>
  <si>
    <t>3204060606120013</t>
  </si>
  <si>
    <t>Kp. Cikahuripan RT 002 RW 005</t>
  </si>
  <si>
    <t>3204065705400001</t>
  </si>
  <si>
    <t>3204061709080009</t>
  </si>
  <si>
    <t>Kp. Cikahuripan RT 002 RW 006</t>
  </si>
  <si>
    <t>3204061107530001</t>
  </si>
  <si>
    <t>3204062804053233</t>
  </si>
  <si>
    <t>Kp. Cikahuripan RT 001 RW 005</t>
  </si>
  <si>
    <t>Iim Salim</t>
  </si>
  <si>
    <t>3204292702120021</t>
  </si>
  <si>
    <t>3204290506580001</t>
  </si>
  <si>
    <t>Rt 02 Rw 11</t>
  </si>
  <si>
    <t>SARIMAHI</t>
  </si>
  <si>
    <t>Ayi Saman</t>
  </si>
  <si>
    <t>3204292903059971</t>
  </si>
  <si>
    <t>3204290101610027</t>
  </si>
  <si>
    <t>Rt 01 Rw 08</t>
  </si>
  <si>
    <t>Uden</t>
  </si>
  <si>
    <t>3204291105560002</t>
  </si>
  <si>
    <t>3204291505130098</t>
  </si>
  <si>
    <t>Rt 02 Rw 05</t>
  </si>
  <si>
    <t>Arifin Usman</t>
  </si>
  <si>
    <t>3204332505750022</t>
  </si>
  <si>
    <t>3204291512140036</t>
  </si>
  <si>
    <t>Rt 02 Rw 12</t>
  </si>
  <si>
    <t>Aman Suherman</t>
  </si>
  <si>
    <t>3204291007590006</t>
  </si>
  <si>
    <t>3204293003054836</t>
  </si>
  <si>
    <t>Rt 03 Rw 01</t>
  </si>
  <si>
    <t>Ujang Hardiyansah</t>
  </si>
  <si>
    <t>3204290107830217</t>
  </si>
  <si>
    <t>3204292305130064</t>
  </si>
  <si>
    <t>Rt 02 Rw 13</t>
  </si>
  <si>
    <t>Yudi</t>
  </si>
  <si>
    <t>3204290208780006</t>
  </si>
  <si>
    <t>3204292903055041</t>
  </si>
  <si>
    <t>3204290408790001</t>
  </si>
  <si>
    <t>3204292002120026</t>
  </si>
  <si>
    <t>KP. TANJUNGLAYA RT 2 RW 5</t>
  </si>
  <si>
    <t>3204295107580003</t>
  </si>
  <si>
    <t>3204292603190035</t>
  </si>
  <si>
    <t>KP BABAKAN SRIMAHI RT 3 RW 3</t>
  </si>
  <si>
    <t>ALEK RADIAN</t>
  </si>
  <si>
    <t>3204290101710120</t>
  </si>
  <si>
    <t>3204292706110446</t>
  </si>
  <si>
    <t>BBK SUKA MULYA RT 2 RW 12</t>
  </si>
  <si>
    <t>3204294104670008</t>
  </si>
  <si>
    <t>3204290702230001</t>
  </si>
  <si>
    <t>KP. JATISARI RT 1 RW 15</t>
  </si>
  <si>
    <t>ENGKON</t>
  </si>
  <si>
    <t>3204294504560005</t>
  </si>
  <si>
    <t>3204292410120008</t>
  </si>
  <si>
    <t>KP. BABAKAN SUKAMULYA. RT 4 RW 12</t>
  </si>
  <si>
    <t>AA SUHARA</t>
  </si>
  <si>
    <t>3204292709480001</t>
  </si>
  <si>
    <t>3204292112120120</t>
  </si>
  <si>
    <t>KP.STASION RT 3 RW 4</t>
  </si>
  <si>
    <t>3204290405600002</t>
  </si>
  <si>
    <t>3204293103053340</t>
  </si>
  <si>
    <t>KP TANJUNGLAYA RT 1 RW 5</t>
  </si>
  <si>
    <t>IRVAN BASARI</t>
  </si>
  <si>
    <t>3204320910850011</t>
  </si>
  <si>
    <t>3204290611170002</t>
  </si>
  <si>
    <t>KP. BABAKAN SUKAMULYA RT 4 RW 12</t>
  </si>
  <si>
    <t>IJANG</t>
  </si>
  <si>
    <t>3204080705770003</t>
  </si>
  <si>
    <t>3204291508230007</t>
  </si>
  <si>
    <t>KP. HAUR CUCUK RT 5 RW 12</t>
  </si>
  <si>
    <t>3204291103010001</t>
  </si>
  <si>
    <t>3204292811230009</t>
  </si>
  <si>
    <t>KP. BABAKAN CIANJUR RT 1 RW 9</t>
  </si>
  <si>
    <t>3204290101560031</t>
  </si>
  <si>
    <t>3204291610120308</t>
  </si>
  <si>
    <t>SAPAN RT 2 RW 13</t>
  </si>
  <si>
    <t>OHEN</t>
  </si>
  <si>
    <t>3204290707500004</t>
  </si>
  <si>
    <t>3204291110120065</t>
  </si>
  <si>
    <t>KP. BABAKAN CIANJUR RT 1 RW 8</t>
  </si>
  <si>
    <t>AYEP</t>
  </si>
  <si>
    <t>3204290507700011</t>
  </si>
  <si>
    <t>3204292811120180</t>
  </si>
  <si>
    <t>KP.SUTAM RT 1 RW 4</t>
  </si>
  <si>
    <t>3204291704610001</t>
  </si>
  <si>
    <t>3204290510120015</t>
  </si>
  <si>
    <t>KP.BABAKAN CIANJUR RT 2 RW 8</t>
  </si>
  <si>
    <t>AI SURYANI</t>
  </si>
  <si>
    <t>3204295202650005</t>
  </si>
  <si>
    <t>3204291910120268</t>
  </si>
  <si>
    <t>KP. BOJONG KALONG RT 2 RW 2</t>
  </si>
  <si>
    <t>3204294208440001</t>
  </si>
  <si>
    <t>3204293006220012</t>
  </si>
  <si>
    <t>KP SUTAM. RT 2 RW 4</t>
  </si>
  <si>
    <t>YAYA. S</t>
  </si>
  <si>
    <t>3204292812570001</t>
  </si>
  <si>
    <t>3204291510120162</t>
  </si>
  <si>
    <t>KP. HAUR CUCUK RT 2 RW 12</t>
  </si>
  <si>
    <t>YANI SURYANI</t>
  </si>
  <si>
    <t>3204295007680002</t>
  </si>
  <si>
    <t>3204293103050746</t>
  </si>
  <si>
    <t>KP BOJONG KALONG RT002/RW002</t>
  </si>
  <si>
    <t>3240292712850004</t>
  </si>
  <si>
    <t>3204291110120070</t>
  </si>
  <si>
    <t>KP BABAKAN CIANJUR RT 003/RW008</t>
  </si>
  <si>
    <t>YUYUN MUTIARA</t>
  </si>
  <si>
    <t>3204296206790006</t>
  </si>
  <si>
    <t>3204290204130035</t>
  </si>
  <si>
    <t>KP BOJONG KALONG RT001/RW002</t>
  </si>
  <si>
    <t>3204290502800002</t>
  </si>
  <si>
    <t>3204293103052085</t>
  </si>
  <si>
    <t>KP SAPAN RT005/RW006</t>
  </si>
  <si>
    <t>3204290408650002</t>
  </si>
  <si>
    <t>3204290710120113</t>
  </si>
  <si>
    <t>KP PATROL RT003/RW005</t>
  </si>
  <si>
    <t>TIA GUSTIAN</t>
  </si>
  <si>
    <t>3204290808920013</t>
  </si>
  <si>
    <t>3204291907120050</t>
  </si>
  <si>
    <t xml:space="preserve">AAM KAMALUDIN </t>
  </si>
  <si>
    <t>3204391602730002</t>
  </si>
  <si>
    <t>3204392605120045</t>
  </si>
  <si>
    <t>KP. PASIR TAKOKAK RT 002 RW 026</t>
  </si>
  <si>
    <t>FARIS MURHOHARI</t>
  </si>
  <si>
    <t>3204391606960004</t>
  </si>
  <si>
    <t>3204390407220004</t>
  </si>
  <si>
    <t>KP. PASIR TAKOKAK RT 001 RW 026</t>
  </si>
  <si>
    <t>3204390107840016</t>
  </si>
  <si>
    <t>3204390601220010</t>
  </si>
  <si>
    <t>3204391011810001</t>
  </si>
  <si>
    <t>3204392806140002</t>
  </si>
  <si>
    <t>ECEP ANANG</t>
  </si>
  <si>
    <t>3204392310720001</t>
  </si>
  <si>
    <t>3204391103052633</t>
  </si>
  <si>
    <t xml:space="preserve">KP. LENGKA RT 002 RW 027 </t>
  </si>
  <si>
    <t>CACANG</t>
  </si>
  <si>
    <t>3204390107620015</t>
  </si>
  <si>
    <t>3204391103052646</t>
  </si>
  <si>
    <t>3204390107680005</t>
  </si>
  <si>
    <t>3204390511240005</t>
  </si>
  <si>
    <t>BATU LAWANG RT 002 RW 028</t>
  </si>
  <si>
    <t>3204390107630127</t>
  </si>
  <si>
    <t>3204391103053811</t>
  </si>
  <si>
    <t>3204391802810002</t>
  </si>
  <si>
    <t>3204392405050967</t>
  </si>
  <si>
    <t>LEGOK PARI RT 5 RW 5</t>
  </si>
  <si>
    <t>RAWABOGO</t>
  </si>
  <si>
    <t>DIAN HADIAN</t>
  </si>
  <si>
    <t>3204390505850002</t>
  </si>
  <si>
    <t>3204391602120039</t>
  </si>
  <si>
    <t>KP MALINGPING RT 3 RW 7</t>
  </si>
  <si>
    <t>HENDRI GUSTIANA</t>
  </si>
  <si>
    <t>3204441808920005</t>
  </si>
  <si>
    <t>3204390908170016</t>
  </si>
  <si>
    <t>KP CISEGOK. RT 3 RW 11</t>
  </si>
  <si>
    <t>3204391002920002</t>
  </si>
  <si>
    <t>3204392308240001</t>
  </si>
  <si>
    <t>LEGOK KIARA RT 3 RW 8</t>
  </si>
  <si>
    <t>ODAS</t>
  </si>
  <si>
    <t>3204395507500007</t>
  </si>
  <si>
    <t>3204390103130007</t>
  </si>
  <si>
    <t>KP.MALINGPING RT 1 RW 7</t>
  </si>
  <si>
    <t>3204392206840004</t>
  </si>
  <si>
    <t>3204390910120003</t>
  </si>
  <si>
    <t>KP PASIRWANGI RT 2 RW 2</t>
  </si>
  <si>
    <t>ROHAETI</t>
  </si>
  <si>
    <t>3204394107380006</t>
  </si>
  <si>
    <t>3204391502120007</t>
  </si>
  <si>
    <t>KMP.SELONG RT 3 RW 3</t>
  </si>
  <si>
    <t>BUDI MAHARDIKA</t>
  </si>
  <si>
    <t>3204390202910002</t>
  </si>
  <si>
    <t>3204393008160010</t>
  </si>
  <si>
    <t>KP.SELONG RT 2 RW 3</t>
  </si>
  <si>
    <t>JERRY FADLY</t>
  </si>
  <si>
    <t>1304041801890004</t>
  </si>
  <si>
    <t>3204391906140002</t>
  </si>
  <si>
    <t>KP.PASIR NANGKA RT 3 RW 1</t>
  </si>
  <si>
    <t>3204391502840001</t>
  </si>
  <si>
    <t>3204391407120056</t>
  </si>
  <si>
    <t>KP.LEGOKPARI RT 3 RW 5</t>
  </si>
  <si>
    <t>3204392911800002</t>
  </si>
  <si>
    <t>3204392502120039</t>
  </si>
  <si>
    <t>KMP.WARUNG CARINGIN RT 1 RW 4</t>
  </si>
  <si>
    <t>3204392403800001</t>
  </si>
  <si>
    <t>3204391005120009</t>
  </si>
  <si>
    <t>KP. BABAKAN RT 1 RW 12</t>
  </si>
  <si>
    <t>HERMANTO</t>
  </si>
  <si>
    <t>3204392105850002</t>
  </si>
  <si>
    <t>3204392012120006</t>
  </si>
  <si>
    <t>KP CIPARIGI RT 2 RW 9</t>
  </si>
  <si>
    <t>3204392010810001</t>
  </si>
  <si>
    <t>3204392706120006</t>
  </si>
  <si>
    <t>EEP</t>
  </si>
  <si>
    <t>3204391510840004</t>
  </si>
  <si>
    <t>3204390701060010</t>
  </si>
  <si>
    <t>KP. SELONG RT 4 RW 3</t>
  </si>
  <si>
    <t>DEDE WITARSA</t>
  </si>
  <si>
    <t>3204121408720002</t>
  </si>
  <si>
    <t>3204120808070027</t>
  </si>
  <si>
    <t>KP. SUKAPURA RT 05/02</t>
  </si>
  <si>
    <t>SUKAPURA</t>
  </si>
  <si>
    <t>DAYEUHKOLOT</t>
  </si>
  <si>
    <t>3204124805630002</t>
  </si>
  <si>
    <t>3204120304130012</t>
  </si>
  <si>
    <t>SUKAPURA 05/02</t>
  </si>
  <si>
    <t>JUMIRAH</t>
  </si>
  <si>
    <t>3204125203470001</t>
  </si>
  <si>
    <t>3204122902120013</t>
  </si>
  <si>
    <t>MENGGER HILIR RT 02/03</t>
  </si>
  <si>
    <t>3204122508770007</t>
  </si>
  <si>
    <t>3204121202130002</t>
  </si>
  <si>
    <t>MENGGER HILIR RT 05/03</t>
  </si>
  <si>
    <t>3204120804560001</t>
  </si>
  <si>
    <t>3204122504055318</t>
  </si>
  <si>
    <t>MENGGER HILIR RT 06/03</t>
  </si>
  <si>
    <t>ATIB KASIM</t>
  </si>
  <si>
    <t>3204121004490003</t>
  </si>
  <si>
    <t>3204122704060001</t>
  </si>
  <si>
    <t>MENGGER HILIR RT 04/03</t>
  </si>
  <si>
    <t>AANG SUHERMAN</t>
  </si>
  <si>
    <t>3204122402740003</t>
  </si>
  <si>
    <t>3204122404057856</t>
  </si>
  <si>
    <t>MENGGER HILIR RT 07/04</t>
  </si>
  <si>
    <t>3204125305430001</t>
  </si>
  <si>
    <t>3204122707160012</t>
  </si>
  <si>
    <t>SUKAPURA RT 03/06</t>
  </si>
  <si>
    <t>ADE SUKARMAN</t>
  </si>
  <si>
    <t>3204120507550008</t>
  </si>
  <si>
    <t>3204121706051224</t>
  </si>
  <si>
    <t>OTONG BUDIONO</t>
  </si>
  <si>
    <t>3204120404640009</t>
  </si>
  <si>
    <t>3204121706050635</t>
  </si>
  <si>
    <t>SUKAPURA RT 02/06</t>
  </si>
  <si>
    <t>TATI ARTINI</t>
  </si>
  <si>
    <t>3204126004680006</t>
  </si>
  <si>
    <t>3204120307150003</t>
  </si>
  <si>
    <t>MELI ANDALIA</t>
  </si>
  <si>
    <t>3204360107930171</t>
  </si>
  <si>
    <t>3204360601220005</t>
  </si>
  <si>
    <t xml:space="preserve">KP. CIBEET RT. 001 RW. 003
</t>
  </si>
  <si>
    <t>CIBEET</t>
  </si>
  <si>
    <t>IBUN</t>
  </si>
  <si>
    <t>UJANG NANA</t>
  </si>
  <si>
    <t>3204361109630001</t>
  </si>
  <si>
    <t>3204362605080004</t>
  </si>
  <si>
    <t>3204364706760012</t>
  </si>
  <si>
    <t>3204361602150010</t>
  </si>
  <si>
    <t>UJANG TATA</t>
  </si>
  <si>
    <t>3204360103600006</t>
  </si>
  <si>
    <t>3204360111190002</t>
  </si>
  <si>
    <t>3204360101590048</t>
  </si>
  <si>
    <t>3204362904080003</t>
  </si>
  <si>
    <t xml:space="preserve">KP. CIBEET RT. 002 RW. 003
</t>
  </si>
  <si>
    <t>UNDANG TOTO</t>
  </si>
  <si>
    <t>3204360107750158</t>
  </si>
  <si>
    <t>3204361903050627</t>
  </si>
  <si>
    <t>ATEP DADI</t>
  </si>
  <si>
    <t>3204360107800495</t>
  </si>
  <si>
    <t>3204361201150015</t>
  </si>
  <si>
    <t xml:space="preserve">KP. CIBEET RT. 003 RW. 003
</t>
  </si>
  <si>
    <t>3204366101530003</t>
  </si>
  <si>
    <t>3204361803057981</t>
  </si>
  <si>
    <t>UJANG NENDI</t>
  </si>
  <si>
    <t>3204360107600110</t>
  </si>
  <si>
    <t>3204361903050636</t>
  </si>
  <si>
    <t>3204360107650013</t>
  </si>
  <si>
    <t>3204362610120004</t>
  </si>
  <si>
    <t>KP. CINANGKA RT 2 RW 6</t>
  </si>
  <si>
    <t>DIDIH</t>
  </si>
  <si>
    <t>3204360507540001</t>
  </si>
  <si>
    <t>3204361903054756</t>
  </si>
  <si>
    <t>KP LEBAK GEDE RT 1 RW 2</t>
  </si>
  <si>
    <t>3204362702400001</t>
  </si>
  <si>
    <t>3204361803055947</t>
  </si>
  <si>
    <t>CIBANEN RT 2 RW 7</t>
  </si>
  <si>
    <t>3204360101940006</t>
  </si>
  <si>
    <t>3204361903053682</t>
  </si>
  <si>
    <t>KP CIBEET. RT 2 RW 5</t>
  </si>
  <si>
    <t>DAHIM</t>
  </si>
  <si>
    <t>3204360107580272</t>
  </si>
  <si>
    <t>3204361109080025</t>
  </si>
  <si>
    <t>KP CIBEET RT 2 RW 5</t>
  </si>
  <si>
    <t>AYI HANA</t>
  </si>
  <si>
    <t>3204361210900001</t>
  </si>
  <si>
    <t>3204361409210002</t>
  </si>
  <si>
    <t>KP CIBEET RT 3 RW 3</t>
  </si>
  <si>
    <t>3204360204940003</t>
  </si>
  <si>
    <t>3204360404180010</t>
  </si>
  <si>
    <t>KP. AWILEGA. RT 3 RW 9</t>
  </si>
  <si>
    <t>LAMPEGAN</t>
  </si>
  <si>
    <t>ARIEF MOCHAMAD IKBAL</t>
  </si>
  <si>
    <t>3204360103920008</t>
  </si>
  <si>
    <t>3204361302180005</t>
  </si>
  <si>
    <t>KP. BABAKAN SALAM RT 2 RW 7</t>
  </si>
  <si>
    <t>3204364907640002</t>
  </si>
  <si>
    <t>3204362406140007</t>
  </si>
  <si>
    <t>KP. BABAKAN SALAM. RT 1 RW 7</t>
  </si>
  <si>
    <t>3204364802550002</t>
  </si>
  <si>
    <t>3204363108120020</t>
  </si>
  <si>
    <t>KP. JOLOK RT 2 RW 6</t>
  </si>
  <si>
    <t>3204363001760001</t>
  </si>
  <si>
    <t>3204361809080057</t>
  </si>
  <si>
    <t>KP. JOLOK RT 1 RW 6</t>
  </si>
  <si>
    <t>CARYA</t>
  </si>
  <si>
    <t>3204361211510001</t>
  </si>
  <si>
    <t>3204362608080094</t>
  </si>
  <si>
    <t>KP AWILEGA RT 1 RW 9</t>
  </si>
  <si>
    <t>3204361204750005</t>
  </si>
  <si>
    <t>3204361408080056</t>
  </si>
  <si>
    <t>Arip Suhandi</t>
  </si>
  <si>
    <t>3204440101910006</t>
  </si>
  <si>
    <t>3204360310140002</t>
  </si>
  <si>
    <t>Kp Cikonyal</t>
  </si>
  <si>
    <t>Romlah</t>
  </si>
  <si>
    <t>3204364505830005</t>
  </si>
  <si>
    <t>3204360102240002</t>
  </si>
  <si>
    <t>Ai Maryati</t>
  </si>
  <si>
    <t>3204365206620003</t>
  </si>
  <si>
    <t>3204361903051928</t>
  </si>
  <si>
    <t>Babakan Salam</t>
  </si>
  <si>
    <t>Dindin Saepudin</t>
  </si>
  <si>
    <t>3204363005800004</t>
  </si>
  <si>
    <t>3204361004070022</t>
  </si>
  <si>
    <t>Babakan Kopo</t>
  </si>
  <si>
    <t>Umar Sumarna</t>
  </si>
  <si>
    <t>3204361012690003</t>
  </si>
  <si>
    <t>3204361903057011</t>
  </si>
  <si>
    <t xml:space="preserve">Kp Lampegan </t>
  </si>
  <si>
    <t>Mamat Rahmat</t>
  </si>
  <si>
    <t>3204362610830006</t>
  </si>
  <si>
    <t>3204362807120028</t>
  </si>
  <si>
    <t>Yuyun Budiman</t>
  </si>
  <si>
    <t>3204360503870003</t>
  </si>
  <si>
    <t>3204360810120045</t>
  </si>
  <si>
    <t>Kp.citeureup</t>
  </si>
  <si>
    <t>Oneng Sumarni</t>
  </si>
  <si>
    <t>3204364808810005</t>
  </si>
  <si>
    <t>3204361903057024</t>
  </si>
  <si>
    <t>BEBEN</t>
  </si>
  <si>
    <t>3204310803860003</t>
  </si>
  <si>
    <t>3204311703053430</t>
  </si>
  <si>
    <t xml:space="preserve">KP. PLERED </t>
  </si>
  <si>
    <t>CIKEMBANG</t>
  </si>
  <si>
    <t>KERTASARI</t>
  </si>
  <si>
    <t>3204310108020008</t>
  </si>
  <si>
    <t>3204313004210003</t>
  </si>
  <si>
    <t xml:space="preserve">KP. CIKEMBANG </t>
  </si>
  <si>
    <t>AI CICIAH</t>
  </si>
  <si>
    <t>3204315110650001</t>
  </si>
  <si>
    <t>3204310603180004</t>
  </si>
  <si>
    <t>IDAH ROSIDAH</t>
  </si>
  <si>
    <t>3204314107560039</t>
  </si>
  <si>
    <t>3204311803052155</t>
  </si>
  <si>
    <t>YULI NURANI</t>
  </si>
  <si>
    <t>3204315602950005</t>
  </si>
  <si>
    <t>3204312711120024</t>
  </si>
  <si>
    <t>RUSLANDI</t>
  </si>
  <si>
    <t>3202092812920005</t>
  </si>
  <si>
    <t>3204311411180008</t>
  </si>
  <si>
    <t>KP. BUKATANAH</t>
  </si>
  <si>
    <t>3204315708850004</t>
  </si>
  <si>
    <t>3204312910120030</t>
  </si>
  <si>
    <t xml:space="preserve">KP. BUKATANAH </t>
  </si>
  <si>
    <t>AJANG ROHANDI</t>
  </si>
  <si>
    <t>3204312905850002</t>
  </si>
  <si>
    <t>3204311703057539</t>
  </si>
  <si>
    <t>AI HALIMAH</t>
  </si>
  <si>
    <t>3204315005610002</t>
  </si>
  <si>
    <t>3204311703056464</t>
  </si>
  <si>
    <t>AAS SUMIATI</t>
  </si>
  <si>
    <t>3204315003830001</t>
  </si>
  <si>
    <t>3204310409240001</t>
  </si>
  <si>
    <t>ELA KOMALA</t>
  </si>
  <si>
    <t>3204314907820003</t>
  </si>
  <si>
    <t>3204313105050060</t>
  </si>
  <si>
    <t>DIAN RAHMAT</t>
  </si>
  <si>
    <t>3204310907740001</t>
  </si>
  <si>
    <t>3204311703055462</t>
  </si>
  <si>
    <t>ALO WAWAN</t>
  </si>
  <si>
    <t>3204310809770003</t>
  </si>
  <si>
    <t>3204310405110067</t>
  </si>
  <si>
    <t>KP. GOHA KIDUL</t>
  </si>
  <si>
    <t>WENDI AZITAMA</t>
  </si>
  <si>
    <t>3204310409790002</t>
  </si>
  <si>
    <t>3204313005050855</t>
  </si>
  <si>
    <t>IIS YULIANTI</t>
  </si>
  <si>
    <t>3204315007000007</t>
  </si>
  <si>
    <t>3204312404180010</t>
  </si>
  <si>
    <t>DEDE ELAN</t>
  </si>
  <si>
    <t>3204310404780001</t>
  </si>
  <si>
    <t>3204311703051377</t>
  </si>
  <si>
    <t>KP. BABAKAN CIGEDE</t>
  </si>
  <si>
    <t>KERISNA SAEFUL MUBAROK</t>
  </si>
  <si>
    <t>3204312007860008</t>
  </si>
  <si>
    <t>3204312907160004</t>
  </si>
  <si>
    <t>KP. GOHA</t>
  </si>
  <si>
    <t>DUDI SETIADI</t>
  </si>
  <si>
    <t>3204310902720004</t>
  </si>
  <si>
    <t>3204311703050343</t>
  </si>
  <si>
    <t>KP. GOHA TENGAH</t>
  </si>
  <si>
    <t>MIA SITI KARMILA</t>
  </si>
  <si>
    <t>3204317101750003</t>
  </si>
  <si>
    <t>3204310503130025</t>
  </si>
  <si>
    <t>KP. GOHA WETAN</t>
  </si>
  <si>
    <t>3204312409860001</t>
  </si>
  <si>
    <t>3204311004130001</t>
  </si>
  <si>
    <t xml:space="preserve">KP. LEMBANGSARI </t>
  </si>
  <si>
    <t>ROSID ROSANDI</t>
  </si>
  <si>
    <t>3204312110830001</t>
  </si>
  <si>
    <t>3204310405110013</t>
  </si>
  <si>
    <t>3204310202750008</t>
  </si>
  <si>
    <t>3204313005051177</t>
  </si>
  <si>
    <t>KP.GOHA LEBAK RT 001/RW 006</t>
  </si>
  <si>
    <t>3204315501800002</t>
  </si>
  <si>
    <t>3204311403180020</t>
  </si>
  <si>
    <t>KP. GOHA LEBAK</t>
  </si>
  <si>
    <t>UJANG KUSMANA</t>
  </si>
  <si>
    <t>3204310603710001</t>
  </si>
  <si>
    <t>3204311703050365</t>
  </si>
  <si>
    <t>NANDANG H</t>
  </si>
  <si>
    <t>3204311112810003</t>
  </si>
  <si>
    <t>3204313005050625</t>
  </si>
  <si>
    <t>NANI SUMARNI</t>
  </si>
  <si>
    <t>3204461312190004</t>
  </si>
  <si>
    <t>3204465109810004</t>
  </si>
  <si>
    <t>GAJAH MEKAR</t>
  </si>
  <si>
    <t>KUTAWARINGIN</t>
  </si>
  <si>
    <t>UTIS SUTISNA</t>
  </si>
  <si>
    <t>3204461812060024</t>
  </si>
  <si>
    <t>3204465409650002</t>
  </si>
  <si>
    <t>GAJAH ERETAN</t>
  </si>
  <si>
    <t>YAYA SUKANDI</t>
  </si>
  <si>
    <t>3204460409080026</t>
  </si>
  <si>
    <t>3204463011710001</t>
  </si>
  <si>
    <t>3204460306120015</t>
  </si>
  <si>
    <t>3204461806830001</t>
  </si>
  <si>
    <t>Ujang Syaepudin</t>
  </si>
  <si>
    <t>3204461610720002</t>
  </si>
  <si>
    <t>3204463011120004</t>
  </si>
  <si>
    <t>Kmp. Sirnagalih</t>
  </si>
  <si>
    <t>Ujun</t>
  </si>
  <si>
    <t>3204460305960002</t>
  </si>
  <si>
    <t>3204461109080011</t>
  </si>
  <si>
    <t>Emi Sumiati</t>
  </si>
  <si>
    <t>3204465708630007</t>
  </si>
  <si>
    <t>3204461410190007</t>
  </si>
  <si>
    <t>Dindin Jamaludin</t>
  </si>
  <si>
    <t>3204461001820001</t>
  </si>
  <si>
    <t>3204461804120036</t>
  </si>
  <si>
    <t>Muhammad Hapit</t>
  </si>
  <si>
    <t>3204460612910005</t>
  </si>
  <si>
    <t>3204460503140002</t>
  </si>
  <si>
    <t>Kmp. Cipedung</t>
  </si>
  <si>
    <t>Beti Setiawati</t>
  </si>
  <si>
    <t>3204096006640004</t>
  </si>
  <si>
    <t>3204460212150014</t>
  </si>
  <si>
    <t>Iyat Supriatna</t>
  </si>
  <si>
    <t>3204460606760003</t>
  </si>
  <si>
    <t>3204461108080040</t>
  </si>
  <si>
    <t>Euis Nuryati</t>
  </si>
  <si>
    <t>3273045209640006</t>
  </si>
  <si>
    <t>3204461909170002</t>
  </si>
  <si>
    <t>Kmp. Cigalumpit</t>
  </si>
  <si>
    <t>Mahmudin</t>
  </si>
  <si>
    <t>3204460504900004</t>
  </si>
  <si>
    <t>3204462202160010</t>
  </si>
  <si>
    <t>Muhamad Tahir</t>
  </si>
  <si>
    <t>3204461912940002</t>
  </si>
  <si>
    <t>3204461608170005</t>
  </si>
  <si>
    <t>Deulis Komalasari</t>
  </si>
  <si>
    <t>3204466006700010</t>
  </si>
  <si>
    <t>3204462601160017</t>
  </si>
  <si>
    <t>Eha Julaeha</t>
  </si>
  <si>
    <t>3204464705680001</t>
  </si>
  <si>
    <t>3204462504060001</t>
  </si>
  <si>
    <t>Kmp. Gajah Eretan</t>
  </si>
  <si>
    <t>Cantia Ardina</t>
  </si>
  <si>
    <t>3204464105010005</t>
  </si>
  <si>
    <t>3204461512220005</t>
  </si>
  <si>
    <t>Kmp. Bojong</t>
  </si>
  <si>
    <t>Deni Setiawan</t>
  </si>
  <si>
    <t>3204100502840011</t>
  </si>
  <si>
    <t>3204461411120002</t>
  </si>
  <si>
    <t>Komalasari</t>
  </si>
  <si>
    <t>3204464902840001</t>
  </si>
  <si>
    <t>3204462809150004</t>
  </si>
  <si>
    <t>3204460212150021</t>
  </si>
  <si>
    <t>3204465605440001</t>
  </si>
  <si>
    <t>BUANA MEKAR</t>
  </si>
  <si>
    <t>3204461104055348</t>
  </si>
  <si>
    <t>3204460107570016</t>
  </si>
  <si>
    <t>LEGOK KONDANG</t>
  </si>
  <si>
    <t>MAMAD SAEPUDIN</t>
  </si>
  <si>
    <t>3204461805120031</t>
  </si>
  <si>
    <t>3204462704730003</t>
  </si>
  <si>
    <t>MEKAR JAYA</t>
  </si>
  <si>
    <t>3204461806080043</t>
  </si>
  <si>
    <t>3204461402700001</t>
  </si>
  <si>
    <t>3204462708070056</t>
  </si>
  <si>
    <t>3204461709760002</t>
  </si>
  <si>
    <t>MEKAR SARI</t>
  </si>
  <si>
    <t>3204462104210003</t>
  </si>
  <si>
    <t>3204464107610017</t>
  </si>
  <si>
    <t>ANDANG</t>
  </si>
  <si>
    <t>3204462109080044</t>
  </si>
  <si>
    <t>3204461011530002</t>
  </si>
  <si>
    <t>BUNIKASIH</t>
  </si>
  <si>
    <t>3204460309080071</t>
  </si>
  <si>
    <t>3204461005520001</t>
  </si>
  <si>
    <t>JATI TIMUR</t>
  </si>
  <si>
    <t>3204460509190016</t>
  </si>
  <si>
    <t>3204461511740001</t>
  </si>
  <si>
    <t>JEREGED</t>
  </si>
  <si>
    <t>DIDIN RUSWANDI</t>
  </si>
  <si>
    <t>3204460505150005</t>
  </si>
  <si>
    <t>3204461502890001</t>
  </si>
  <si>
    <t>CACA NURJAMAN</t>
  </si>
  <si>
    <t>3204461908210003</t>
  </si>
  <si>
    <t>3204462112850004</t>
  </si>
  <si>
    <t>EDENG SAEPULOH</t>
  </si>
  <si>
    <t>3204461202558043</t>
  </si>
  <si>
    <t>3204461012730006</t>
  </si>
  <si>
    <t>JATI BARAT</t>
  </si>
  <si>
    <t>UDEN MULYANA</t>
  </si>
  <si>
    <t>3204460905070033</t>
  </si>
  <si>
    <t>3204462406730003</t>
  </si>
  <si>
    <t>3204463108080043</t>
  </si>
  <si>
    <t>3204460101780007</t>
  </si>
  <si>
    <t>NEGLASARI MEKAR</t>
  </si>
  <si>
    <t>YAYAN ROSADI</t>
  </si>
  <si>
    <t>3204460910120014</t>
  </si>
  <si>
    <t>3204461708770004</t>
  </si>
  <si>
    <t>BUNI BUANA</t>
  </si>
  <si>
    <t>UUNG SURYANA</t>
  </si>
  <si>
    <t>3204462609170006</t>
  </si>
  <si>
    <t>3204460811590007</t>
  </si>
  <si>
    <t>UJANG TATANG</t>
  </si>
  <si>
    <t>3204332308730002</t>
  </si>
  <si>
    <t>3204331112120015</t>
  </si>
  <si>
    <t>KP. RANCABALI. RT 1 RW 2</t>
  </si>
  <si>
    <t>MAJAKERTA</t>
  </si>
  <si>
    <t>PEPEN</t>
  </si>
  <si>
    <t>3204331603780003</t>
  </si>
  <si>
    <t>3204332603050278</t>
  </si>
  <si>
    <t>KP. BOJONG KUKUN. RT 4 RW 9</t>
  </si>
  <si>
    <t>OSID</t>
  </si>
  <si>
    <t>3204330608630012</t>
  </si>
  <si>
    <t>3204330412070026</t>
  </si>
  <si>
    <t>KP. SUKAMANAH RT 1 RW 6</t>
  </si>
  <si>
    <t>AJANG KOSWARA</t>
  </si>
  <si>
    <t>3204332310860001</t>
  </si>
  <si>
    <t>3204332605110209</t>
  </si>
  <si>
    <t>KP. RANCABALI RT 1 RW 2</t>
  </si>
  <si>
    <t>APE</t>
  </si>
  <si>
    <t>3204330109770006</t>
  </si>
  <si>
    <t>3204331006130080</t>
  </si>
  <si>
    <t>KP.BOJONG KUKUN  RT 3 RW 9</t>
  </si>
  <si>
    <t>3204330101450134</t>
  </si>
  <si>
    <t>3204331806070050</t>
  </si>
  <si>
    <t>BOJONG KUKUN RT 1 RW 9</t>
  </si>
  <si>
    <t>UJANG KOSIM</t>
  </si>
  <si>
    <t>3204330707760009</t>
  </si>
  <si>
    <t>3204332003130043</t>
  </si>
  <si>
    <t>KP. BABAKAN JAMBU RT 5 RW 11</t>
  </si>
  <si>
    <t>SELFI SETIAWAN</t>
  </si>
  <si>
    <t>3204360908030003</t>
  </si>
  <si>
    <t>3204331412220009</t>
  </si>
  <si>
    <t>3204336006590002</t>
  </si>
  <si>
    <t>3204331307180014</t>
  </si>
  <si>
    <t>KP. BABAKAN JAMBU RT 4 RW 11</t>
  </si>
  <si>
    <t>3204330707730009</t>
  </si>
  <si>
    <t>3204332803054987</t>
  </si>
  <si>
    <t>KP SUKAMANAH RT 4 RW 8</t>
  </si>
  <si>
    <t>ODE</t>
  </si>
  <si>
    <t>3204341503610001</t>
  </si>
  <si>
    <t>3204332703140012</t>
  </si>
  <si>
    <t>KP. BOJONG KUKUN RT 3 RW 9</t>
  </si>
  <si>
    <t>ODIH RUHDIANA</t>
  </si>
  <si>
    <t>3204333112720005</t>
  </si>
  <si>
    <t>3204332305130010</t>
  </si>
  <si>
    <t>3204330605750005</t>
  </si>
  <si>
    <t>3204332603051933</t>
  </si>
  <si>
    <t>3204360512680005</t>
  </si>
  <si>
    <t>3204330812160002</t>
  </si>
  <si>
    <t>KP MANIRANCAN RT 03 RW 02</t>
  </si>
  <si>
    <t>MAJASETRA</t>
  </si>
  <si>
    <t>IKA SARTIKA</t>
  </si>
  <si>
    <t>3204334708600001</t>
  </si>
  <si>
    <t>3204331507140005</t>
  </si>
  <si>
    <t>KP MANIRANCAN RT 01 RW 02</t>
  </si>
  <si>
    <t>ENANG SUTISNA</t>
  </si>
  <si>
    <t>3204330708680008</t>
  </si>
  <si>
    <t>3204332703057492</t>
  </si>
  <si>
    <t>KP SINARSARI RT 04 RW 03</t>
  </si>
  <si>
    <t>3204335403690005</t>
  </si>
  <si>
    <t>3204332312210002</t>
  </si>
  <si>
    <t>KP BABAKAN RT 02 RW 04</t>
  </si>
  <si>
    <t>SITI HADIJAH</t>
  </si>
  <si>
    <t>3204334112640010</t>
  </si>
  <si>
    <t>3204331007250001</t>
  </si>
  <si>
    <t>KP BABAKAN RT 03 RW 04</t>
  </si>
  <si>
    <t>3204331311770005</t>
  </si>
  <si>
    <t>3204332006060009</t>
  </si>
  <si>
    <t>KP SABUAH RT 02 RW 09</t>
  </si>
  <si>
    <t>3204334305670011</t>
  </si>
  <si>
    <t>3204330706070008</t>
  </si>
  <si>
    <t xml:space="preserve">KP MANIRANCAN RT 04 RW 14 </t>
  </si>
  <si>
    <t>3204334101500013</t>
  </si>
  <si>
    <t>3204331005230020</t>
  </si>
  <si>
    <t xml:space="preserve">KP MANIRANCAN RT 03 RW 14 </t>
  </si>
  <si>
    <t>3204330101590050</t>
  </si>
  <si>
    <t>3204331712120168</t>
  </si>
  <si>
    <t>3204334107670006</t>
  </si>
  <si>
    <t>3204330312120135</t>
  </si>
  <si>
    <t>KP HANJA RT 03 RW 15</t>
  </si>
  <si>
    <t>DEDE SAMAR</t>
  </si>
  <si>
    <t>3204332212730006</t>
  </si>
  <si>
    <t>3204332803056335</t>
  </si>
  <si>
    <t>KP HANJA RT 02 RW 15</t>
  </si>
  <si>
    <t>3204334101660015</t>
  </si>
  <si>
    <t>3204332605050575</t>
  </si>
  <si>
    <t>DEVI KUMARA</t>
  </si>
  <si>
    <t>3204330706790025</t>
  </si>
  <si>
    <t>3204332901080011</t>
  </si>
  <si>
    <t>KP MANIRANCAN RT 03 RW 14</t>
  </si>
  <si>
    <t>3204330101710160</t>
  </si>
  <si>
    <t>3204332307080008</t>
  </si>
  <si>
    <t>KP HANJA RT 04 RW 10</t>
  </si>
  <si>
    <t>3204331001800001</t>
  </si>
  <si>
    <t>3204332803054693</t>
  </si>
  <si>
    <t>NYANYANG RUHYAT</t>
  </si>
  <si>
    <t>3204331404810002</t>
  </si>
  <si>
    <t>3204330712120045</t>
  </si>
  <si>
    <t>KP BOJONG REUNGAS RT  03 RW 06</t>
  </si>
  <si>
    <t>LIAH</t>
  </si>
  <si>
    <t>3204334101710060</t>
  </si>
  <si>
    <t>3204332603051598</t>
  </si>
  <si>
    <t>KP MANIRANCAN RT 02 RW 02</t>
  </si>
  <si>
    <t>EDI KOSWARA</t>
  </si>
  <si>
    <t>3204333004700002</t>
  </si>
  <si>
    <t>3204332703055075</t>
  </si>
  <si>
    <t>UTEP MULYADI</t>
  </si>
  <si>
    <t>3204331108760005</t>
  </si>
  <si>
    <t>3204332011120031</t>
  </si>
  <si>
    <t>KP SINAR SARI RT 01 RW 03</t>
  </si>
  <si>
    <t>CUCU CAHYATI</t>
  </si>
  <si>
    <t>3204335202960017</t>
  </si>
  <si>
    <t>3204332011070025</t>
  </si>
  <si>
    <t>KP BALEKAMBANG RT 5 RW 16</t>
  </si>
  <si>
    <t>SASMANAH</t>
  </si>
  <si>
    <t>3204335105590002</t>
  </si>
  <si>
    <t>3204332703058907</t>
  </si>
  <si>
    <t>KP BALEKAMBANG RT 4 RW 18</t>
  </si>
  <si>
    <t>3204335501720002</t>
  </si>
  <si>
    <t>3204332603058358</t>
  </si>
  <si>
    <t>KP BALEKAMBANG RT 03 RW 19</t>
  </si>
  <si>
    <t>YULIA</t>
  </si>
  <si>
    <t>3204336506760001</t>
  </si>
  <si>
    <t>3204332703050062</t>
  </si>
  <si>
    <t>KP BALEKAMBANG RT 3 RW 19</t>
  </si>
  <si>
    <t>3204335804550003</t>
  </si>
  <si>
    <t>3204331606080086</t>
  </si>
  <si>
    <t>3204334611760001</t>
  </si>
  <si>
    <t>3204332803057742</t>
  </si>
  <si>
    <t>KP BALEKAMBANG RT 4 RW 16</t>
  </si>
  <si>
    <t>ASEP ZAENAL ARIPIN</t>
  </si>
  <si>
    <t>3204330106770020</t>
  </si>
  <si>
    <t>3204332310070034</t>
  </si>
  <si>
    <t>3204334203660005</t>
  </si>
  <si>
    <t>3204332803057720</t>
  </si>
  <si>
    <t xml:space="preserve"> KP BALEKAMBANG RT 4 RW 16</t>
  </si>
  <si>
    <t>NANI TEJANINGSIH</t>
  </si>
  <si>
    <t>3204336606650002</t>
  </si>
  <si>
    <t>3204331612140012</t>
  </si>
  <si>
    <t>KP LEUWIDULANG RT 01 RW 05</t>
  </si>
  <si>
    <t>3204335407830002</t>
  </si>
  <si>
    <t>3204332705110248</t>
  </si>
  <si>
    <t>kp CIWALENGKE RT 01 RW 09</t>
  </si>
  <si>
    <t>AI MINTARSIH</t>
  </si>
  <si>
    <t>3204334203670005</t>
  </si>
  <si>
    <t>3204332703052083</t>
  </si>
  <si>
    <t>KP LEUWIDULANG RT 03 RW 04</t>
  </si>
  <si>
    <t>3204334510560001</t>
  </si>
  <si>
    <t>3204332703050012</t>
  </si>
  <si>
    <t>KP PARAOS RT 04 RW 11</t>
  </si>
  <si>
    <t>3217144903800005</t>
  </si>
  <si>
    <t>3204330703170014</t>
  </si>
  <si>
    <t>Kp Babakan jambu RT,01 RW 11</t>
  </si>
  <si>
    <t>3204104107970016</t>
  </si>
  <si>
    <t>3204102306150018</t>
  </si>
  <si>
    <t>CIGONDEWAH HILIR RT 06 RW 01</t>
  </si>
  <si>
    <t>CIGONDEWAH HILIR</t>
  </si>
  <si>
    <t>DADANG SUHENDAR</t>
  </si>
  <si>
    <t>3204100401770001</t>
  </si>
  <si>
    <t>3204100412150027</t>
  </si>
  <si>
    <t>KP CIJANTUNG RT 03 RW 07</t>
  </si>
  <si>
    <t>DESI ANDRARANI</t>
  </si>
  <si>
    <t>3204104312990006</t>
  </si>
  <si>
    <t>3204100904180015</t>
  </si>
  <si>
    <t>CIGONDEWAH HILIRRT 06 RW 03</t>
  </si>
  <si>
    <t>3204104304720005</t>
  </si>
  <si>
    <t>3204100808120065</t>
  </si>
  <si>
    <t>CIGONDEWAH HILIR RT 05 RW 03</t>
  </si>
  <si>
    <t>3204104207880002</t>
  </si>
  <si>
    <t>3204103005130039</t>
  </si>
  <si>
    <t>KP.BATU RENGAT RT 04 RW 05</t>
  </si>
  <si>
    <t>3204100101790028</t>
  </si>
  <si>
    <t>3204101307120044</t>
  </si>
  <si>
    <t>KP. BATU RENGAT RT 04 RW 05</t>
  </si>
  <si>
    <t>3204100607710008</t>
  </si>
  <si>
    <t>3204101706140052</t>
  </si>
  <si>
    <t>CIGONDEWAH HILIR RT 04 RW 07</t>
  </si>
  <si>
    <t>3204100107630014</t>
  </si>
  <si>
    <t>3204102104052272</t>
  </si>
  <si>
    <t>CIGONDEWAH HILIR DUSUN RT 01 RW 07</t>
  </si>
  <si>
    <t>ASEP SODIKIN</t>
  </si>
  <si>
    <t>3104100305790006</t>
  </si>
  <si>
    <t>3204102104052262</t>
  </si>
  <si>
    <t>3204100101450031</t>
  </si>
  <si>
    <t>3204102406130040</t>
  </si>
  <si>
    <t>CIGONDEWAH HILIR DUSUN RT 01 RW 08</t>
  </si>
  <si>
    <t>ABDUL GOFUR</t>
  </si>
  <si>
    <t>3204100107760215</t>
  </si>
  <si>
    <t>3204102104052238</t>
  </si>
  <si>
    <t>CIGONDEWAH HILIR DUSUN RT 01 RW 09</t>
  </si>
  <si>
    <t>SITI EMA NUR ROHMAH</t>
  </si>
  <si>
    <t>3204104206940007</t>
  </si>
  <si>
    <t>3204102810160012</t>
  </si>
  <si>
    <t>KP.CIJANTUNG RT 02 RW07</t>
  </si>
  <si>
    <t>PANDI KOSWARA</t>
  </si>
  <si>
    <t>3204100305720017</t>
  </si>
  <si>
    <t>3204101405110024</t>
  </si>
  <si>
    <t>KP CIJANTUNG DUSUN RT 02 RW 07</t>
  </si>
  <si>
    <t>3204100101540048</t>
  </si>
  <si>
    <t>3204100107130031</t>
  </si>
  <si>
    <t>KP CIJANTUNG  RT 03 RW 07</t>
  </si>
  <si>
    <t>M ADANG S</t>
  </si>
  <si>
    <t>3204100107580020</t>
  </si>
  <si>
    <t>3204102505110104</t>
  </si>
  <si>
    <t>KP BATURENGAT RT 02 RW 08</t>
  </si>
  <si>
    <t>NINA MARDIANA</t>
  </si>
  <si>
    <t>3204104708950011</t>
  </si>
  <si>
    <t>3204100104160008</t>
  </si>
  <si>
    <t>CIGONDEWAH HILIR RT 02 RW 09</t>
  </si>
  <si>
    <t>3204264107450007</t>
  </si>
  <si>
    <t>3204261207060024</t>
  </si>
  <si>
    <t>KP. ANDIR RT 1 RW 1</t>
  </si>
  <si>
    <t>CIARO</t>
  </si>
  <si>
    <t>NAGREG</t>
  </si>
  <si>
    <t>3204260612840006</t>
  </si>
  <si>
    <t>3204261805110008</t>
  </si>
  <si>
    <t>KP.CIGADOG RT 5 RW 12</t>
  </si>
  <si>
    <t>ACEH</t>
  </si>
  <si>
    <t>3204260510770001</t>
  </si>
  <si>
    <t>3204261008120001</t>
  </si>
  <si>
    <t>KP. RANCA RT 4 RW 5</t>
  </si>
  <si>
    <t>3204264107550022</t>
  </si>
  <si>
    <t>3204261606170008</t>
  </si>
  <si>
    <t>KP.CIARO RT 2 RW 3</t>
  </si>
  <si>
    <t>ROBI SUGARA</t>
  </si>
  <si>
    <t>3204260112990005</t>
  </si>
  <si>
    <t>3204261502220001</t>
  </si>
  <si>
    <t>KP.CIPAKU GIRANG RT 4 RW 11</t>
  </si>
  <si>
    <t>D E D E</t>
  </si>
  <si>
    <t>3204100410830004</t>
  </si>
  <si>
    <t>3204261502240002</t>
  </si>
  <si>
    <t>TEGALAME. RT 4 RW 7</t>
  </si>
  <si>
    <t>3204260107630010</t>
  </si>
  <si>
    <t>3204262303052970</t>
  </si>
  <si>
    <t>KP.CISEUPAN RT 1 RW 11</t>
  </si>
  <si>
    <t>3215250611750001</t>
  </si>
  <si>
    <t>3204261711170002</t>
  </si>
  <si>
    <t>KP.CIPAKU HILIR RT 1 RW 10</t>
  </si>
  <si>
    <t>3204261708550001</t>
  </si>
  <si>
    <t>3204262203052190</t>
  </si>
  <si>
    <t>KP TEGALLAME RT 3 RW 6</t>
  </si>
  <si>
    <t>DIKA ARDIANSYAH</t>
  </si>
  <si>
    <t>3204260709930001</t>
  </si>
  <si>
    <t>3204260709150008</t>
  </si>
  <si>
    <t>3204264407450001</t>
  </si>
  <si>
    <t>3204262203050857</t>
  </si>
  <si>
    <t>KP.RANCA RT 2 RW 5</t>
  </si>
  <si>
    <t>DEDE SAHIDIN</t>
  </si>
  <si>
    <t>3204260306790006</t>
  </si>
  <si>
    <t>3204261303060006</t>
  </si>
  <si>
    <t>KP. CIPAKU HILIR RT 3 RW 10</t>
  </si>
  <si>
    <t>3204264705640001</t>
  </si>
  <si>
    <t>3204261001120030</t>
  </si>
  <si>
    <t>KP. TEGALLAME RT 4 RW 7</t>
  </si>
  <si>
    <t>NANO PIRMANSYAH</t>
  </si>
  <si>
    <t>3204262710670001</t>
  </si>
  <si>
    <t>3204262303052350</t>
  </si>
  <si>
    <t>3204260611890003</t>
  </si>
  <si>
    <t>3204262908120055</t>
  </si>
  <si>
    <t>KP.CIPAKU HILIR RT 3 RW 10</t>
  </si>
  <si>
    <t>3204264908650001</t>
  </si>
  <si>
    <t>3204262607060013</t>
  </si>
  <si>
    <t>EUIS DARLIASARI</t>
  </si>
  <si>
    <t>3204265408730002</t>
  </si>
  <si>
    <t>3204261406230005</t>
  </si>
  <si>
    <t>KP.CIARO  RT 2 RW 4</t>
  </si>
  <si>
    <t>3204260507390003</t>
  </si>
  <si>
    <t>3204262203050243</t>
  </si>
  <si>
    <t>KP.CIGADOG RT 2 RW 12</t>
  </si>
  <si>
    <t>3204260305640004</t>
  </si>
  <si>
    <t>3204262208060031</t>
  </si>
  <si>
    <t>KP. CIPAKU HILIR RT 4 RW 10</t>
  </si>
  <si>
    <t>EDI SOPIAN</t>
  </si>
  <si>
    <t>3204262906900007</t>
  </si>
  <si>
    <t>3204261504140006</t>
  </si>
  <si>
    <t>3204300107900028</t>
  </si>
  <si>
    <t>3204300604210009</t>
  </si>
  <si>
    <t>KP WADAT RT 02 RW 06</t>
  </si>
  <si>
    <t>CIKAWAO</t>
  </si>
  <si>
    <t>ATEP KOSASIH</t>
  </si>
  <si>
    <t>3204302912140031</t>
  </si>
  <si>
    <t>3204303001200026</t>
  </si>
  <si>
    <t>KP CISINDANG RT 02 RW 05</t>
  </si>
  <si>
    <t>AYO DARYO</t>
  </si>
  <si>
    <t>3204301509560001</t>
  </si>
  <si>
    <t>3204301710080004</t>
  </si>
  <si>
    <t>KP CISINDANG RT 04 RW 05</t>
  </si>
  <si>
    <t>IWAN RUSMANA</t>
  </si>
  <si>
    <t>3204305610700001</t>
  </si>
  <si>
    <t>3204301703055643</t>
  </si>
  <si>
    <t>IIM MULYADI</t>
  </si>
  <si>
    <t>3204301703054292</t>
  </si>
  <si>
    <t>3204302112120034</t>
  </si>
  <si>
    <t>KP BUNTAR RT 01 RW 13</t>
  </si>
  <si>
    <t>UJANG DAHYANA</t>
  </si>
  <si>
    <t>3204300107860351</t>
  </si>
  <si>
    <t>3204300180510020</t>
  </si>
  <si>
    <t>KP WADAT RT 03 RW 06</t>
  </si>
  <si>
    <t>KARMANAH</t>
  </si>
  <si>
    <t>3204304810600001</t>
  </si>
  <si>
    <t>3204300608210015</t>
  </si>
  <si>
    <t>KP BOJONG PICUNG RT 02 RW 04</t>
  </si>
  <si>
    <t>3204304604540002</t>
  </si>
  <si>
    <t>3204300605150022</t>
  </si>
  <si>
    <t>AYO</t>
  </si>
  <si>
    <t>3204300407630003</t>
  </si>
  <si>
    <t>3204300310120001</t>
  </si>
  <si>
    <t>KP CISINDANG RT 01 RW 05</t>
  </si>
  <si>
    <t>4304301108750009</t>
  </si>
  <si>
    <t>3204302505120007</t>
  </si>
  <si>
    <t>ATEP PERI</t>
  </si>
  <si>
    <t>3204302004830003</t>
  </si>
  <si>
    <t>3204301505170021</t>
  </si>
  <si>
    <t>KP CIKAWAO RT 04 RW 02</t>
  </si>
  <si>
    <t>NIA SARWITA</t>
  </si>
  <si>
    <t>3204304704801001</t>
  </si>
  <si>
    <t>3204300902150002</t>
  </si>
  <si>
    <t>KP CIAWAO RT 04 RW 02</t>
  </si>
  <si>
    <t>ODONG</t>
  </si>
  <si>
    <t>3204300107920123</t>
  </si>
  <si>
    <t>3204302209170008</t>
  </si>
  <si>
    <t>AJANG ROHMAN</t>
  </si>
  <si>
    <t>3204300604850006</t>
  </si>
  <si>
    <t>3204302505120021</t>
  </si>
  <si>
    <t>KP BABAKAN RT 01 RW 03</t>
  </si>
  <si>
    <t>3204301002720003</t>
  </si>
  <si>
    <t>3204301703057313</t>
  </si>
  <si>
    <t>ASEP TASRIP</t>
  </si>
  <si>
    <t>3204360101600074</t>
  </si>
  <si>
    <t>3204302109150023</t>
  </si>
  <si>
    <t>KP PERENG HILIR RT 04 RW 03</t>
  </si>
  <si>
    <t>KIKIN ROJIKIN</t>
  </si>
  <si>
    <t>3204301206630002</t>
  </si>
  <si>
    <t>3204302905060018</t>
  </si>
  <si>
    <t>KP CIKAWAO RT 03 RW 02</t>
  </si>
  <si>
    <t>IHAH SOLIHAH</t>
  </si>
  <si>
    <t>3204304702730004</t>
  </si>
  <si>
    <t>3204300805130002</t>
  </si>
  <si>
    <t>KP. PANGAUBAN RT. 01 RW. 01</t>
  </si>
  <si>
    <t>3204302108670001</t>
  </si>
  <si>
    <t>3204301803056030</t>
  </si>
  <si>
    <t>KP. PANGAUBAN RT. 07 RW. 01</t>
  </si>
  <si>
    <t>MAMAH HALIMAH</t>
  </si>
  <si>
    <t>3204304107560091</t>
  </si>
  <si>
    <t>3204300205110007</t>
  </si>
  <si>
    <t>KP. PANGAUBAN RT. 01 RW. 02</t>
  </si>
  <si>
    <t>3204304404530002</t>
  </si>
  <si>
    <t>3204301903052986</t>
  </si>
  <si>
    <t>KP. PASIR PARI RT. 04 RW. 03</t>
  </si>
  <si>
    <t>UBAD</t>
  </si>
  <si>
    <t>3204301307700002</t>
  </si>
  <si>
    <t>3204301903052944</t>
  </si>
  <si>
    <t>KP. PASIR PARI RT. 02 RW. 03</t>
  </si>
  <si>
    <t>3204300403760005</t>
  </si>
  <si>
    <t>3204301009130010</t>
  </si>
  <si>
    <t>KP. CISAAT RT. 04 RW. 05</t>
  </si>
  <si>
    <t>3204306002690001</t>
  </si>
  <si>
    <t>3204302908220015</t>
  </si>
  <si>
    <t>KP. CISAAT RT. 02 RW. 05</t>
  </si>
  <si>
    <t>3204304603580007</t>
  </si>
  <si>
    <t>3204302005190001</t>
  </si>
  <si>
    <t>WAWAN KURNIAWAN</t>
  </si>
  <si>
    <t>3204370101740047</t>
  </si>
  <si>
    <t>3204301402190015</t>
  </si>
  <si>
    <t>KP. PASIR PARI RT. 01 RW. 06</t>
  </si>
  <si>
    <t>YAYAT SAEPUL HAYAT</t>
  </si>
  <si>
    <t>3204301103720004</t>
  </si>
  <si>
    <t>3204302405110021</t>
  </si>
  <si>
    <t>KP. URUG RT. 02 RW. 07</t>
  </si>
  <si>
    <t>MEMEH</t>
  </si>
  <si>
    <t>3204304711480001</t>
  </si>
  <si>
    <t>3204300904210010</t>
  </si>
  <si>
    <t>KP. PERENG RT. 03 RW. 07</t>
  </si>
  <si>
    <t>3204300107761001</t>
  </si>
  <si>
    <t>3204302401150018</t>
  </si>
  <si>
    <t>DARYA</t>
  </si>
  <si>
    <t>3204300908570001</t>
  </si>
  <si>
    <t>3204301803057375</t>
  </si>
  <si>
    <t>KP. PASIRAN AWI GEDE RT. 03 RW. 08</t>
  </si>
  <si>
    <t>3204304107430214</t>
  </si>
  <si>
    <t>3204301105180004</t>
  </si>
  <si>
    <t>KP. BABAKAN RT. 02 RW. 10</t>
  </si>
  <si>
    <t>SARIPAH</t>
  </si>
  <si>
    <t>3204304107720101</t>
  </si>
  <si>
    <t>3204301903053968</t>
  </si>
  <si>
    <t>KP. GIRIHIEUM RT. 02 RW. 09</t>
  </si>
  <si>
    <t>3204300205790353</t>
  </si>
  <si>
    <t>3204301611070003</t>
  </si>
  <si>
    <t>KP. URUG RT. 03 RW. 11</t>
  </si>
  <si>
    <t>DENI SYARIF HDAYAT</t>
  </si>
  <si>
    <t>3204301703780003</t>
  </si>
  <si>
    <t>3204301710120024</t>
  </si>
  <si>
    <t>KP. PERENG KIDUL RT. 03 RW. 12</t>
  </si>
  <si>
    <t>3204300911770002</t>
  </si>
  <si>
    <t>3204302604060018</t>
  </si>
  <si>
    <t>KP DANO RT. 03 RW 14</t>
  </si>
  <si>
    <t>DIHNI ADZIKRI SUPYAN</t>
  </si>
  <si>
    <t>3204300604870002</t>
  </si>
  <si>
    <t>3204300406140016</t>
  </si>
  <si>
    <t>KP. PANGAUBAN RT. 03 RW. 15</t>
  </si>
  <si>
    <t>AGUS RAMLAN</t>
  </si>
  <si>
    <t>3204151708940010</t>
  </si>
  <si>
    <t>3204151707140018</t>
  </si>
  <si>
    <t>KP. CINANGKA RT 001 RW 001</t>
  </si>
  <si>
    <t>LAMAJANG</t>
  </si>
  <si>
    <t>ALIT KOMARA</t>
  </si>
  <si>
    <t>3204150404860012</t>
  </si>
  <si>
    <t>3204151401080077</t>
  </si>
  <si>
    <t>KP. BADRA RT 002 RW 002</t>
  </si>
  <si>
    <t>PARMAN SUDANA</t>
  </si>
  <si>
    <t>3204152009690004</t>
  </si>
  <si>
    <t>3204150904070064</t>
  </si>
  <si>
    <t>KP. BARU RT. 002 RW. 006</t>
  </si>
  <si>
    <t>3204152309730001</t>
  </si>
  <si>
    <t>3204151703051468</t>
  </si>
  <si>
    <t>KP. KARANG TENGAH RT. 001 RW. 007</t>
  </si>
  <si>
    <t>AGUS REDI</t>
  </si>
  <si>
    <t>3204152111600001</t>
  </si>
  <si>
    <t>3204151703050641</t>
  </si>
  <si>
    <t>KP. WASPADANA RT. 003 RW. 008</t>
  </si>
  <si>
    <t>ENDANG SUTISNA</t>
  </si>
  <si>
    <t>3204151010950007</t>
  </si>
  <si>
    <t>3204151911150024</t>
  </si>
  <si>
    <t>KP AWIDATAR RT 003 RW 009</t>
  </si>
  <si>
    <t>3204150512540001</t>
  </si>
  <si>
    <t>3204151703051287</t>
  </si>
  <si>
    <t>KP. CIKAJANG RT. 004 RW. 010</t>
  </si>
  <si>
    <t>OMEN SUKIRMAN</t>
  </si>
  <si>
    <t>3204150606660010</t>
  </si>
  <si>
    <t>3204151803050152</t>
  </si>
  <si>
    <t xml:space="preserve">KP. CIKALONG HILIR RT. 001 RW. 012 </t>
  </si>
  <si>
    <t>3204150107760252</t>
  </si>
  <si>
    <t>3204153011120058</t>
  </si>
  <si>
    <t>KP. CIKALONG HILIR RT. 001 RW. 013</t>
  </si>
  <si>
    <t>EWON SUKMA WIJAYA</t>
  </si>
  <si>
    <t>3204150403660005</t>
  </si>
  <si>
    <t>3204151410120001</t>
  </si>
  <si>
    <t>KP. RANTAYA RT.003.RW.014</t>
  </si>
  <si>
    <t>CARMINI</t>
  </si>
  <si>
    <t>3204154107520078</t>
  </si>
  <si>
    <t>3204151603055303</t>
  </si>
  <si>
    <t>KP. PASIR KIHIANG RT.003.RW.015</t>
  </si>
  <si>
    <t>WAWAN KARTIWAN</t>
  </si>
  <si>
    <t>3204151201790004</t>
  </si>
  <si>
    <t>3204152804080033</t>
  </si>
  <si>
    <t xml:space="preserve">KP CIKAJANG RT 002 RW 016 </t>
  </si>
  <si>
    <t>3204151104700005</t>
  </si>
  <si>
    <t>3204152201110105</t>
  </si>
  <si>
    <t>KP. PASIR GEDE RT.001 RW.021</t>
  </si>
  <si>
    <t>3204150304670012</t>
  </si>
  <si>
    <t>3204151511120052</t>
  </si>
  <si>
    <t>KP.RANTAYA RT.003 RW.022</t>
  </si>
  <si>
    <t>3204150210770012</t>
  </si>
  <si>
    <t>3204150207080017</t>
  </si>
  <si>
    <t>KP. PATARUMAN RT. 004 RW. 023</t>
  </si>
  <si>
    <t>3204150107540058</t>
  </si>
  <si>
    <t>3204151403051423</t>
  </si>
  <si>
    <t>KP. KIARA LEBE RT. 002 RW. 011</t>
  </si>
  <si>
    <t>PULOSARI</t>
  </si>
  <si>
    <t>USEP KOSWARA</t>
  </si>
  <si>
    <t>3204151108540004</t>
  </si>
  <si>
    <t>3204150910170006</t>
  </si>
  <si>
    <t>UJANG ROHANI</t>
  </si>
  <si>
    <t>3204151004620002</t>
  </si>
  <si>
    <t>3204151212050151</t>
  </si>
  <si>
    <t>KP. PULO RT. 006 RW. 015</t>
  </si>
  <si>
    <t>HERMAN YASIN</t>
  </si>
  <si>
    <t>3204150510900001</t>
  </si>
  <si>
    <t>3204152602180010</t>
  </si>
  <si>
    <t>KP. CIBULUH RT. 003 RW. 009</t>
  </si>
  <si>
    <t>UJANG SUJANA</t>
  </si>
  <si>
    <t>3204151806540003</t>
  </si>
  <si>
    <t>3204150512120057</t>
  </si>
  <si>
    <t>KP. CIBULUH RT. 005 RW. 009</t>
  </si>
  <si>
    <t>HENDAR KARMANA</t>
  </si>
  <si>
    <t>3204151309990008</t>
  </si>
  <si>
    <t>3204151401190015</t>
  </si>
  <si>
    <t>KP. CINANGSI RT.002 RW. 012</t>
  </si>
  <si>
    <t>ACEP RONI</t>
  </si>
  <si>
    <t>3204150507920005</t>
  </si>
  <si>
    <t>3204150109120003</t>
  </si>
  <si>
    <t>KP. CINANGSI RT.001 RW. 012</t>
  </si>
  <si>
    <t>RAHYA</t>
  </si>
  <si>
    <t>3204150206580001</t>
  </si>
  <si>
    <t>3204151503054614</t>
  </si>
  <si>
    <t>KP. CINANGSI RT. 002 RW. 017</t>
  </si>
  <si>
    <t>3204364406880002</t>
  </si>
  <si>
    <t>3204361108120039</t>
  </si>
  <si>
    <t>KP. CICANAR RT 1 RW 12</t>
  </si>
  <si>
    <t>LOA</t>
  </si>
  <si>
    <t>3204355002550004</t>
  </si>
  <si>
    <t>3204353009220015</t>
  </si>
  <si>
    <t>KP. LOA RT 3 RW 10</t>
  </si>
  <si>
    <t>LALAN</t>
  </si>
  <si>
    <t>3204352905980001</t>
  </si>
  <si>
    <t>3204351612210006</t>
  </si>
  <si>
    <t>KP. CIDADAP RT 5 RW 5</t>
  </si>
  <si>
    <t>3204350408910001</t>
  </si>
  <si>
    <t>3204350807190015</t>
  </si>
  <si>
    <t>KP. TIISDINGIN RT 2 RW 6</t>
  </si>
  <si>
    <t>3204352504720003</t>
  </si>
  <si>
    <t>3204352508050102</t>
  </si>
  <si>
    <t>KP LOA RT 3 RW 10</t>
  </si>
  <si>
    <t>WARSA</t>
  </si>
  <si>
    <t>3204351002711001</t>
  </si>
  <si>
    <t>3204351609140013</t>
  </si>
  <si>
    <t>KP. BUKATANAH. RT 2 RW 3</t>
  </si>
  <si>
    <t>3204354304480004</t>
  </si>
  <si>
    <t>3204352201200003</t>
  </si>
  <si>
    <t>KP.NENGENG RT 2 RW 4</t>
  </si>
  <si>
    <t>U.ODIN</t>
  </si>
  <si>
    <t>3204351108770005</t>
  </si>
  <si>
    <t>3204351009120001</t>
  </si>
  <si>
    <t>KP.MEKARSARI RT 3 RW 9</t>
  </si>
  <si>
    <t>3204350610650002</t>
  </si>
  <si>
    <t>3204352312050145</t>
  </si>
  <si>
    <t>KP.LENGO RT 2 RW 11</t>
  </si>
  <si>
    <t>ENDANG SARGA</t>
  </si>
  <si>
    <t>3204350911550003</t>
  </si>
  <si>
    <t>3204352903110009</t>
  </si>
  <si>
    <t>KP.TIISDINGIN RT 2 RW 6</t>
  </si>
  <si>
    <t>3204351205630001</t>
  </si>
  <si>
    <t>3204351903050814</t>
  </si>
  <si>
    <t>KP.MALANG RT 5 RW 6</t>
  </si>
  <si>
    <t>TOTO TARMALA</t>
  </si>
  <si>
    <t>3204350101920031</t>
  </si>
  <si>
    <t>3204351803050561</t>
  </si>
  <si>
    <t>KP LOA RT 4 RW 2</t>
  </si>
  <si>
    <t>UJANG TIMAN</t>
  </si>
  <si>
    <t>3204351508760018</t>
  </si>
  <si>
    <t>3204351211130013</t>
  </si>
  <si>
    <t>SARIFUDIN</t>
  </si>
  <si>
    <t>3204352307940008</t>
  </si>
  <si>
    <t>3204352609140021</t>
  </si>
  <si>
    <t>KP.LOA RT 3 RW 10</t>
  </si>
  <si>
    <t>EMEH</t>
  </si>
  <si>
    <t>3204354107590197</t>
  </si>
  <si>
    <t>3204352210070031</t>
  </si>
  <si>
    <t>MALINGPING RT 4 RW 8</t>
  </si>
  <si>
    <t>TATAN RUSTANDI</t>
  </si>
  <si>
    <t>3203151003900004</t>
  </si>
  <si>
    <t>3204350304200001</t>
  </si>
  <si>
    <t>3204352502820008</t>
  </si>
  <si>
    <t>3204351004070008</t>
  </si>
  <si>
    <t>CIDADAP RT 5 RW 5</t>
  </si>
  <si>
    <t>WAHYU WIBISANA</t>
  </si>
  <si>
    <t>3204353112600001</t>
  </si>
  <si>
    <t>3204350701060146</t>
  </si>
  <si>
    <t>LIMUS MANGGUNG   RT 3 RW 8</t>
  </si>
  <si>
    <t>ILPAN SETIA MULYA</t>
  </si>
  <si>
    <t>3204332811900005</t>
  </si>
  <si>
    <t>3204352506130041</t>
  </si>
  <si>
    <t>KP. TIISDINGIN RT 1 RW 6</t>
  </si>
  <si>
    <t>3204351406940003</t>
  </si>
  <si>
    <t>3204352909220007</t>
  </si>
  <si>
    <t>3204440505760001</t>
  </si>
  <si>
    <t>3204442309120034</t>
  </si>
  <si>
    <t>KP. CIBUBUAY RT 4 RW 8</t>
  </si>
  <si>
    <t>PASIRJAMBU</t>
  </si>
  <si>
    <t>TARMINI</t>
  </si>
  <si>
    <t>3204384507510001</t>
  </si>
  <si>
    <t>3204381307200009</t>
  </si>
  <si>
    <t>KP. PASIRAWI RT 1 RW 9</t>
  </si>
  <si>
    <t>CISONDARI</t>
  </si>
  <si>
    <t>DASEP SUPRIATNA</t>
  </si>
  <si>
    <t>3204381606990003</t>
  </si>
  <si>
    <t>3204381306230004</t>
  </si>
  <si>
    <t>CIWARU, RT 1 RW 16</t>
  </si>
  <si>
    <t>DADAY DJUAELI</t>
  </si>
  <si>
    <t>3204381007530001</t>
  </si>
  <si>
    <t>3204381303057495</t>
  </si>
  <si>
    <t>KP CISONDARI RT 2 RW 2</t>
  </si>
  <si>
    <t>AGUS SONTANI</t>
  </si>
  <si>
    <t>3204380402630001</t>
  </si>
  <si>
    <t>3204381403051570</t>
  </si>
  <si>
    <t>KP CISONDARI RT 1 RW 4</t>
  </si>
  <si>
    <t>OOM KOMARIAH</t>
  </si>
  <si>
    <t>3204384101570024</t>
  </si>
  <si>
    <t>3204381005120061</t>
  </si>
  <si>
    <t>KP. CIAUL RT 2 RW 14</t>
  </si>
  <si>
    <t>3204384907530001</t>
  </si>
  <si>
    <t>3204380811230003</t>
  </si>
  <si>
    <t>KP. CISARUA RT 1 RW 5</t>
  </si>
  <si>
    <t>CECEP HAMDANI</t>
  </si>
  <si>
    <t>3204381709910004</t>
  </si>
  <si>
    <t>3204381109140011</t>
  </si>
  <si>
    <t>KP.CIBUBUAY</t>
  </si>
  <si>
    <t>DIAN RAMADAN</t>
  </si>
  <si>
    <t>3204391507900007</t>
  </si>
  <si>
    <t>3204381008190003</t>
  </si>
  <si>
    <t>KP.AWILEGOK</t>
  </si>
  <si>
    <t>UJANG SAPAAT</t>
  </si>
  <si>
    <t>3204380506870001</t>
  </si>
  <si>
    <t>3204380203120026</t>
  </si>
  <si>
    <t>3204381309900002</t>
  </si>
  <si>
    <t>3204381407120011</t>
  </si>
  <si>
    <t>KP.CISEUPAN</t>
  </si>
  <si>
    <t>SOLEH SOPIAN</t>
  </si>
  <si>
    <t>3204380101810032</t>
  </si>
  <si>
    <t>3204381203180003</t>
  </si>
  <si>
    <t>KP.SURAJA</t>
  </si>
  <si>
    <t>AHMAD ROBANI</t>
  </si>
  <si>
    <t>3204380603970001</t>
  </si>
  <si>
    <t>3204382709180010</t>
  </si>
  <si>
    <t>KP.PASIRWARU</t>
  </si>
  <si>
    <t>UJANG SANTANA</t>
  </si>
  <si>
    <t>3204381111700004</t>
  </si>
  <si>
    <t>3204382409130002</t>
  </si>
  <si>
    <t>KP.TUGU</t>
  </si>
  <si>
    <t>SITI SARAH NUROHMAH</t>
  </si>
  <si>
    <t>3204386302010002</t>
  </si>
  <si>
    <t>3204381501200006</t>
  </si>
  <si>
    <t>KP.BABAKAN IRIGASI</t>
  </si>
  <si>
    <t>DEDEN AHMAD SUKRI</t>
  </si>
  <si>
    <t>3204380107020006</t>
  </si>
  <si>
    <t>3204380506230007</t>
  </si>
  <si>
    <t>CIBUBUAY</t>
  </si>
  <si>
    <t>SUHARTONO</t>
  </si>
  <si>
    <t>3204381707980004</t>
  </si>
  <si>
    <t>3204380203230008</t>
  </si>
  <si>
    <t>KP CIAUL RT01/RW20</t>
  </si>
  <si>
    <t>YUYUN YUNINGSIH</t>
  </si>
  <si>
    <t>3204386710750008</t>
  </si>
  <si>
    <t>3204381112250004</t>
  </si>
  <si>
    <t>KP CISONDARI RT04/RW03</t>
  </si>
  <si>
    <t>WIWIIN WINARSIH</t>
  </si>
  <si>
    <t>3204394507810001</t>
  </si>
  <si>
    <t>3204380412170004</t>
  </si>
  <si>
    <t>KP CISARUA RT021/RW05</t>
  </si>
  <si>
    <t>3204381501730003</t>
  </si>
  <si>
    <t>3204380705120041</t>
  </si>
  <si>
    <t xml:space="preserve">KP BARUSEN RT03/RW15 </t>
  </si>
  <si>
    <t>3204384108870006</t>
  </si>
  <si>
    <t>3204382608050135</t>
  </si>
  <si>
    <t>SITI SUKAESIH</t>
  </si>
  <si>
    <t>3204384702600001</t>
  </si>
  <si>
    <t>3204381303057512</t>
  </si>
  <si>
    <t>KP CISONDARI 02/RW02</t>
  </si>
  <si>
    <t>UCEP NANDI</t>
  </si>
  <si>
    <t>3204400909080064</t>
  </si>
  <si>
    <t>3204402606810010</t>
  </si>
  <si>
    <t>ALAMENDAH</t>
  </si>
  <si>
    <t>RANCABALI</t>
  </si>
  <si>
    <t>KOSWARA</t>
  </si>
  <si>
    <t>3204400102190015</t>
  </si>
  <si>
    <t>3204402709880001</t>
  </si>
  <si>
    <t>CILASTARI</t>
  </si>
  <si>
    <t>RESTU ADI BASKARA</t>
  </si>
  <si>
    <t>3204401109250001</t>
  </si>
  <si>
    <t>3204402607800001</t>
  </si>
  <si>
    <t>CIKAREO</t>
  </si>
  <si>
    <t>DASEP RUHYAT</t>
  </si>
  <si>
    <t>3204400808120032</t>
  </si>
  <si>
    <t>3204400508760001</t>
  </si>
  <si>
    <t>KARAMAT</t>
  </si>
  <si>
    <t>IYEP</t>
  </si>
  <si>
    <t>3204402306120003</t>
  </si>
  <si>
    <t>3204402805810001</t>
  </si>
  <si>
    <t>FITRI ERLINA</t>
  </si>
  <si>
    <t>3204402407200001</t>
  </si>
  <si>
    <t>3204406105980003</t>
  </si>
  <si>
    <t>AMANAH</t>
  </si>
  <si>
    <t>3204401303050171</t>
  </si>
  <si>
    <t>3204404302740005</t>
  </si>
  <si>
    <t>BABAKAN JAMPANG</t>
  </si>
  <si>
    <t>TATANG SUPRIATNA</t>
  </si>
  <si>
    <t>3204401509080023</t>
  </si>
  <si>
    <t>3204400909720001</t>
  </si>
  <si>
    <t>SINDUR</t>
  </si>
  <si>
    <t>TUSIMAN</t>
  </si>
  <si>
    <t>3204402709180002</t>
  </si>
  <si>
    <t>3204402611960001</t>
  </si>
  <si>
    <t>CIBARIBIS</t>
  </si>
  <si>
    <t>3204402304180004</t>
  </si>
  <si>
    <t>3204405804740002</t>
  </si>
  <si>
    <t xml:space="preserve">BARUTUNGGUL </t>
  </si>
  <si>
    <t>3204402011230005</t>
  </si>
  <si>
    <t>3204404107650008</t>
  </si>
  <si>
    <t>SINAPEUL</t>
  </si>
  <si>
    <t>AYI KUSMANA</t>
  </si>
  <si>
    <t>3204400408080002</t>
  </si>
  <si>
    <t>3204400101740109</t>
  </si>
  <si>
    <t>HANJUANG BEUREM</t>
  </si>
  <si>
    <t>RUKMA</t>
  </si>
  <si>
    <t>3204401203057983</t>
  </si>
  <si>
    <t>3204400107630149</t>
  </si>
  <si>
    <t>TIA SUTIAWAN</t>
  </si>
  <si>
    <t>3204400212550001</t>
  </si>
  <si>
    <t>3204401203053997</t>
  </si>
  <si>
    <t>KP. MEKAR SAWARGI RT 01 RW 04</t>
  </si>
  <si>
    <t>CIPELAH</t>
  </si>
  <si>
    <t>AGUS TATANG</t>
  </si>
  <si>
    <t>3204400303850018</t>
  </si>
  <si>
    <t>3204400202160003</t>
  </si>
  <si>
    <t>KP. SUNDA MEKAR 02 RW 14</t>
  </si>
  <si>
    <t>3204400302800001</t>
  </si>
  <si>
    <t>3204401712120003</t>
  </si>
  <si>
    <t>3204400202570001</t>
  </si>
  <si>
    <t>3204401203057574</t>
  </si>
  <si>
    <t>KP. PASIR EURIH RT 03 RWT 06</t>
  </si>
  <si>
    <t>ADE ROHANA</t>
  </si>
  <si>
    <t>3204400402640001</t>
  </si>
  <si>
    <t>3204400402640004</t>
  </si>
  <si>
    <t>KP. MEKAR MAJU RT 04 RW 01</t>
  </si>
  <si>
    <t>3204402012830002</t>
  </si>
  <si>
    <t>3204403008050493</t>
  </si>
  <si>
    <t>KP. GUNUNG LEUTIK RT 01 RW 06</t>
  </si>
  <si>
    <t>3204400906900001</t>
  </si>
  <si>
    <t>3204400708140074</t>
  </si>
  <si>
    <t>KP. DATAR MULYA RT 03 RW 15</t>
  </si>
  <si>
    <t>NANIH SUTIASIH</t>
  </si>
  <si>
    <t>3204406004480001</t>
  </si>
  <si>
    <t>3204400403220009</t>
  </si>
  <si>
    <t>KP. MEKAR SARI RT 02 RW 15</t>
  </si>
  <si>
    <t>WAWAY</t>
  </si>
  <si>
    <t>3204401111740012</t>
  </si>
  <si>
    <t>3204401510080108</t>
  </si>
  <si>
    <t>KP. CIHIDEUNG RT 01 RW 08</t>
  </si>
  <si>
    <t>3204404505950001</t>
  </si>
  <si>
    <t>3204402706130026</t>
  </si>
  <si>
    <t>KP. GIRI LUYU RT 02 RW 07</t>
  </si>
  <si>
    <t>DAMIN MULYANA</t>
  </si>
  <si>
    <t>3204400506860002</t>
  </si>
  <si>
    <t>3204400506230005</t>
  </si>
  <si>
    <t>KP. KUBANGSARI RT 02 RW 09</t>
  </si>
  <si>
    <t>3204404212750002</t>
  </si>
  <si>
    <t>3204401404150013</t>
  </si>
  <si>
    <t>KP. CIHIDEUNG RT 04 RW 08</t>
  </si>
  <si>
    <t>ROBI</t>
  </si>
  <si>
    <t>3204400108640005</t>
  </si>
  <si>
    <t>3204401203050032</t>
  </si>
  <si>
    <t>IIS SAODAH</t>
  </si>
  <si>
    <t>3204344407750004</t>
  </si>
  <si>
    <t>3204341202250006</t>
  </si>
  <si>
    <t>KP. HAUR BUYUT TENGAH RT.001 RW.013</t>
  </si>
  <si>
    <t>BOJONGEMAS</t>
  </si>
  <si>
    <t>ATEP SUPRIATNA</t>
  </si>
  <si>
    <t>3204341106890003</t>
  </si>
  <si>
    <t>3204341808170009</t>
  </si>
  <si>
    <t>3204345902430001</t>
  </si>
  <si>
    <t>3204342803180008</t>
  </si>
  <si>
    <t>KP. HAUR BUYUT TENGAH RT.002 RW.013</t>
  </si>
  <si>
    <t>NINA NISRINA</t>
  </si>
  <si>
    <t>3204345409670002</t>
  </si>
  <si>
    <t>3204341111190003</t>
  </si>
  <si>
    <t>KP. RANDUKURUNG RT.001 RW.017</t>
  </si>
  <si>
    <t>LALAN TARUNA CANDRA</t>
  </si>
  <si>
    <t>3204341506660002</t>
  </si>
  <si>
    <t>3204342803051174</t>
  </si>
  <si>
    <t>KP. BOJONG JATI RT.003 RW.006</t>
  </si>
  <si>
    <t>RIZAL FAUZI</t>
  </si>
  <si>
    <t>3204342211890004</t>
  </si>
  <si>
    <t>3204352502200005</t>
  </si>
  <si>
    <t>KP. RANDUKURUNG RT.002 RW.017</t>
  </si>
  <si>
    <t>ENCEP SOPARI</t>
  </si>
  <si>
    <t>3204341707820001</t>
  </si>
  <si>
    <t>3204341011130010</t>
  </si>
  <si>
    <t>KP. BENDUNGAN TELUR RT.05 RW,08</t>
  </si>
  <si>
    <t>ENDUT</t>
  </si>
  <si>
    <t>3204342807670004</t>
  </si>
  <si>
    <t>3204342308070003</t>
  </si>
  <si>
    <t>KP. BABAKAN RAHAYU RT.01 RW.16</t>
  </si>
  <si>
    <t>YANTI PRIYANTI</t>
  </si>
  <si>
    <t>3204346511830003</t>
  </si>
  <si>
    <t>3204343005050681</t>
  </si>
  <si>
    <t>KP. BOJONGEMAS RT.003 RW.005</t>
  </si>
  <si>
    <t>J ZAENAL ARIFIN</t>
  </si>
  <si>
    <t>3204300205770024</t>
  </si>
  <si>
    <t>3204301607200016</t>
  </si>
  <si>
    <t>KP. ERENG WETAN RT 4 RW 12</t>
  </si>
  <si>
    <t>RIFKY ACHMAD MUNAWAR</t>
  </si>
  <si>
    <t>3204342501020002</t>
  </si>
  <si>
    <t>3204340606230003</t>
  </si>
  <si>
    <t>KP RANDU KURUNG RT 2 RW 9</t>
  </si>
  <si>
    <t>DADAN HERMAWAN.</t>
  </si>
  <si>
    <t>3204281005780007</t>
  </si>
  <si>
    <t>3204282411120011</t>
  </si>
  <si>
    <t>KP. BOJONG EMAS RT 2 RW 5</t>
  </si>
  <si>
    <t>3204311712850005</t>
  </si>
  <si>
    <t>3204340307180013</t>
  </si>
  <si>
    <t>KP. ERENG KULON RT 1 RW 7</t>
  </si>
  <si>
    <t>DEDE SOPIAN</t>
  </si>
  <si>
    <t>3204340505710007</t>
  </si>
  <si>
    <t>3204341012120028</t>
  </si>
  <si>
    <t>KP. BATU NUNGGUL RT 2 RW 14</t>
  </si>
  <si>
    <t>3204291505820004</t>
  </si>
  <si>
    <t>3204340507220004</t>
  </si>
  <si>
    <t>KP. BONCEL RT 3 RW 11</t>
  </si>
  <si>
    <t>Yopi Nurwinda</t>
  </si>
  <si>
    <t>3204340510790020</t>
  </si>
  <si>
    <t>3204343005110043</t>
  </si>
  <si>
    <t>Kp Cibodas Rt 004 Rw 005</t>
  </si>
  <si>
    <t>Rukma</t>
  </si>
  <si>
    <t>3204340506840001</t>
  </si>
  <si>
    <t>3204340709120055</t>
  </si>
  <si>
    <t>Kp Cibodas Rt 001 Rw 005</t>
  </si>
  <si>
    <t>Lili</t>
  </si>
  <si>
    <t>3204341803910001</t>
  </si>
  <si>
    <t>3204341901220006</t>
  </si>
  <si>
    <t>Kp Lembang Bengkok Rt 002 Rw 007</t>
  </si>
  <si>
    <t>Aas Dewi</t>
  </si>
  <si>
    <t>3204345011620001</t>
  </si>
  <si>
    <t>3204342803052757</t>
  </si>
  <si>
    <t>Kp Cibodas Rt 002 Rw 002</t>
  </si>
  <si>
    <t>Ateng</t>
  </si>
  <si>
    <t>3204340203560004</t>
  </si>
  <si>
    <t>3204341512050108</t>
  </si>
  <si>
    <t>Kp Lembang Bengkok Rt 003 Rw 017</t>
  </si>
  <si>
    <t>Onih</t>
  </si>
  <si>
    <t>3204345412520002</t>
  </si>
  <si>
    <t>3204342412050026</t>
  </si>
  <si>
    <t>Kp Cibodas Rt 004 Rw 006</t>
  </si>
  <si>
    <t>Eteng</t>
  </si>
  <si>
    <t>3204342209780001</t>
  </si>
  <si>
    <t>3204341712050089</t>
  </si>
  <si>
    <t>Kp Rancanyiruan Rt 001 Rw 011</t>
  </si>
  <si>
    <t>Osid</t>
  </si>
  <si>
    <t>3204341006810006</t>
  </si>
  <si>
    <t>3204341912130002</t>
  </si>
  <si>
    <t>Kp Cibodas Rt 002 Rw 004</t>
  </si>
  <si>
    <t>Antri</t>
  </si>
  <si>
    <t>3204344706560001</t>
  </si>
  <si>
    <t>3204340512170008</t>
  </si>
  <si>
    <t>Kp Cibodas Rt 002 Rw 005</t>
  </si>
  <si>
    <t>wasdi</t>
  </si>
  <si>
    <t>3204340104580010</t>
  </si>
  <si>
    <t>3204340101060102</t>
  </si>
  <si>
    <t>Rukman</t>
  </si>
  <si>
    <t>3204351007831001</t>
  </si>
  <si>
    <t>3204340909210005</t>
  </si>
  <si>
    <t>Amin</t>
  </si>
  <si>
    <t>3204340705660003</t>
  </si>
  <si>
    <t>3204340809120014</t>
  </si>
  <si>
    <t>Kp Lembang Bengkok Rt 003 Rw 007</t>
  </si>
  <si>
    <t>Ayeng</t>
  </si>
  <si>
    <t>3204341008400002</t>
  </si>
  <si>
    <t>3204341512050027</t>
  </si>
  <si>
    <t>Agus Maya</t>
  </si>
  <si>
    <t>3204341608620003</t>
  </si>
  <si>
    <t>3204342803053821</t>
  </si>
  <si>
    <t>Ijah</t>
  </si>
  <si>
    <t>3204346304660001</t>
  </si>
  <si>
    <t>3204342010160015</t>
  </si>
  <si>
    <t>Kp Rancanyiruan Rt 003 Rw 019</t>
  </si>
  <si>
    <t>3204344306790003</t>
  </si>
  <si>
    <t>3204340810080003</t>
  </si>
  <si>
    <t>KP. RANCAKASO RT.002/001</t>
  </si>
  <si>
    <t>PADAMUKTI</t>
  </si>
  <si>
    <t>HENI RUSLINA</t>
  </si>
  <si>
    <t>3204344704800020</t>
  </si>
  <si>
    <t>3204341709080042</t>
  </si>
  <si>
    <t>KP. RANCAKASO RT.001/003</t>
  </si>
  <si>
    <t>3204344107580162</t>
  </si>
  <si>
    <t>3204342803057095</t>
  </si>
  <si>
    <t>KP. LEMBANG BAGUS RT.001/009</t>
  </si>
  <si>
    <t>OMAR</t>
  </si>
  <si>
    <t>3204343108700003</t>
  </si>
  <si>
    <t>3204341512120014</t>
  </si>
  <si>
    <t>3204344509760003</t>
  </si>
  <si>
    <t>3204342111190012</t>
  </si>
  <si>
    <t>KP. BOJONG BUBU RT.002/003</t>
  </si>
  <si>
    <t>YUYUN YUNARTI</t>
  </si>
  <si>
    <t>3204344812880007</t>
  </si>
  <si>
    <t>3204340302070055</t>
  </si>
  <si>
    <t>KP. PATROL RT.002/010</t>
  </si>
  <si>
    <t>3204344101590015</t>
  </si>
  <si>
    <t>3204340310230002</t>
  </si>
  <si>
    <t>KP. RANCAKASO RT.002/901</t>
  </si>
  <si>
    <t>AAN ROHAYATI</t>
  </si>
  <si>
    <t>3204344101690016</t>
  </si>
  <si>
    <t>4304340103230004</t>
  </si>
  <si>
    <t>KP. RANCAKASO RT.002/011</t>
  </si>
  <si>
    <t>CUCU SUNININGSIH</t>
  </si>
  <si>
    <t>3204345004750001</t>
  </si>
  <si>
    <t>3204342006050059</t>
  </si>
  <si>
    <t>KP. RANCAKASO RT.003/002</t>
  </si>
  <si>
    <t>3204346410800004</t>
  </si>
  <si>
    <t>3204343108070049</t>
  </si>
  <si>
    <t>KP. RANCAKASO RT.002/004</t>
  </si>
  <si>
    <t>ROBY GINANJAR</t>
  </si>
  <si>
    <t>3204340205910003</t>
  </si>
  <si>
    <t>3204332307190011</t>
  </si>
  <si>
    <t>KP. BOJONG BUBU RT.-002/006</t>
  </si>
  <si>
    <t>WARTAS</t>
  </si>
  <si>
    <t>3204340101680062</t>
  </si>
  <si>
    <t>3204340409070060</t>
  </si>
  <si>
    <t>KP. PATROL RT.003/010</t>
  </si>
  <si>
    <t>KIKI DARMAWAN</t>
  </si>
  <si>
    <t>3204271411000004</t>
  </si>
  <si>
    <t>3204341201220008</t>
  </si>
  <si>
    <t>KP. LEMBANG BAGUS RT 1 RW 9</t>
  </si>
  <si>
    <t>RIZAL FIRMANSAH</t>
  </si>
  <si>
    <t>3204330809990003</t>
  </si>
  <si>
    <t>3204342202190008</t>
  </si>
  <si>
    <t>KP. RANCAKASO RT 1 RW 1</t>
  </si>
  <si>
    <t>ATEP BUDIMAN</t>
  </si>
  <si>
    <t>3204340808870017</t>
  </si>
  <si>
    <t>3204331903200002</t>
  </si>
  <si>
    <t>KP. RANCAKASO RT 2 RW 12</t>
  </si>
  <si>
    <t>3204346106630001</t>
  </si>
  <si>
    <t>3204340905170008</t>
  </si>
  <si>
    <t>KP PANCAKSUJI RT 2 RW 8</t>
  </si>
  <si>
    <t>PAISAL HIDAYAT</t>
  </si>
  <si>
    <t>3204342211000001</t>
  </si>
  <si>
    <t>3204342909230005</t>
  </si>
  <si>
    <t>KP. LEMBANG BAGUS RT 2 RW 9</t>
  </si>
  <si>
    <t>ADHITYA MUHAMAD RAMADHAN</t>
  </si>
  <si>
    <t>3204281102970007</t>
  </si>
  <si>
    <t>3204341910210004</t>
  </si>
  <si>
    <t>KP. RANCAKASO RT 3 RW 1</t>
  </si>
  <si>
    <t>RASIDI</t>
  </si>
  <si>
    <t>3204342703570002</t>
  </si>
  <si>
    <t>3204342101080150</t>
  </si>
  <si>
    <t>KP. RANCAKASO RT 2 RW 11</t>
  </si>
  <si>
    <t>3204344101500012</t>
  </si>
  <si>
    <t>3204342006050160</t>
  </si>
  <si>
    <t>KP RANCAKASO RT 1 RW 5</t>
  </si>
  <si>
    <t>Elis suryani</t>
  </si>
  <si>
    <t>3204346210790007</t>
  </si>
  <si>
    <t>3204340403240002</t>
  </si>
  <si>
    <t>Kp.Panyadal Rt 02 Rw 11</t>
  </si>
  <si>
    <t>PANYADAP</t>
  </si>
  <si>
    <t>Agus ridwan</t>
  </si>
  <si>
    <t>3204340409720004</t>
  </si>
  <si>
    <t>3204340509080059</t>
  </si>
  <si>
    <t>Kp.Panyadap Rt 02 Rw 12</t>
  </si>
  <si>
    <t>Aan sundani</t>
  </si>
  <si>
    <t>3204340308790006</t>
  </si>
  <si>
    <t>3204343005051312</t>
  </si>
  <si>
    <t>Kp.Pengkolan Rt 01 Rw 05</t>
  </si>
  <si>
    <t>3204346705790002</t>
  </si>
  <si>
    <t>3204340506230002</t>
  </si>
  <si>
    <t xml:space="preserve">KP. BABAKAN CEMPAKA RT.004/RW.014
</t>
  </si>
  <si>
    <t>3204341202720002</t>
  </si>
  <si>
    <t>3204340808120027</t>
  </si>
  <si>
    <t>UJANG HENDAR</t>
  </si>
  <si>
    <t>3204340107840139</t>
  </si>
  <si>
    <t>3204342708210005</t>
  </si>
  <si>
    <t xml:space="preserve">KP. BABAKAN CEMPAKA RT.003/RW.014
</t>
  </si>
  <si>
    <t>ITRA SUPRIADI</t>
  </si>
  <si>
    <t>4204341104840005</t>
  </si>
  <si>
    <t>3204340212060017</t>
  </si>
  <si>
    <t xml:space="preserve">KP. BABAKAN CEMPAKA RT.002/RW.014
</t>
  </si>
  <si>
    <t>3204340607750009</t>
  </si>
  <si>
    <t>3204342408070164</t>
  </si>
  <si>
    <t xml:space="preserve">KP. BABAKAN CEMPAKA RT.001/RW.014
</t>
  </si>
  <si>
    <t>3304340101700056</t>
  </si>
  <si>
    <t>3204342408070148</t>
  </si>
  <si>
    <t>AGUS GUNADI</t>
  </si>
  <si>
    <t>3204340102820003</t>
  </si>
  <si>
    <t>3204342811120038</t>
  </si>
  <si>
    <t>3204341708450005</t>
  </si>
  <si>
    <t>3204341107130024</t>
  </si>
  <si>
    <t>OMA KAPI</t>
  </si>
  <si>
    <t>3204340809680001</t>
  </si>
  <si>
    <t>3204342811120051</t>
  </si>
  <si>
    <t>WAHDIAT</t>
  </si>
  <si>
    <t>3204341111820009</t>
  </si>
  <si>
    <t>3204342405110035</t>
  </si>
  <si>
    <t>3204340107770006</t>
  </si>
  <si>
    <t>3204342811120042</t>
  </si>
  <si>
    <t>3204341210640002</t>
  </si>
  <si>
    <t>3204342408070153</t>
  </si>
  <si>
    <t>ENANG SUDIANA</t>
  </si>
  <si>
    <t>3204340107780279</t>
  </si>
  <si>
    <t>3204342803051450</t>
  </si>
  <si>
    <t>SURYAMIN</t>
  </si>
  <si>
    <t>3204340107870007</t>
  </si>
  <si>
    <t>3204340409120033</t>
  </si>
  <si>
    <t>AYI SUPARMAN</t>
  </si>
  <si>
    <t>3204340101940008</t>
  </si>
  <si>
    <t>3204341411180005</t>
  </si>
  <si>
    <t>ENDANG BEJO</t>
  </si>
  <si>
    <t>3204340505650004</t>
  </si>
  <si>
    <t>3204342510120002</t>
  </si>
  <si>
    <t>3204340101520061</t>
  </si>
  <si>
    <t>3204342408070135</t>
  </si>
  <si>
    <t>TAUFIK SUHERLI</t>
  </si>
  <si>
    <t>3204341706860002</t>
  </si>
  <si>
    <t>3204342012120033</t>
  </si>
  <si>
    <t>CUCUN AHMAD SYAMSURIJAL</t>
  </si>
  <si>
    <t>Belum Pernah menerima bantuan BSPS,FLPP dan BP2BT</t>
  </si>
  <si>
    <t>Backlog 2 desil 2</t>
  </si>
  <si>
    <t>Backlog 2 Desil 1-5</t>
  </si>
  <si>
    <t>Backlog 2 desil 3</t>
  </si>
  <si>
    <t>Tidak masuk backlog perumahan desil 1</t>
  </si>
  <si>
    <t>Tidak masuk backlog perumahan</t>
  </si>
  <si>
    <t>Backlog 2 desil 1</t>
  </si>
  <si>
    <t>Backlog 2 desil 6</t>
  </si>
  <si>
    <t>Backlog 2 Desil 6-10</t>
  </si>
  <si>
    <t>Backlog 1 desil 3</t>
  </si>
  <si>
    <t>Backlog 1 Desil 1-5</t>
  </si>
  <si>
    <t>Backlog 2 desil 4</t>
  </si>
  <si>
    <t>Tidak masuk backlog perumahan desil 2</t>
  </si>
  <si>
    <t>Tidak masuk backlog perumahan desil 5</t>
  </si>
  <si>
    <t>Tidak masuk backlog perumahan desil 3</t>
  </si>
  <si>
    <t>Backlog 1 desil 5</t>
  </si>
  <si>
    <t>-</t>
  </si>
  <si>
    <t>Backlog 2 desil 5</t>
  </si>
  <si>
    <t>Backlog 1 desil 1</t>
  </si>
  <si>
    <t>Backlog 1 desil 4</t>
  </si>
  <si>
    <t>Tidak masuk backlog perumahan desil 6</t>
  </si>
  <si>
    <t>Tidak masuk backlog perumahan desil 8</t>
  </si>
  <si>
    <t>Tidak masuk backlog perumahan desil 4</t>
  </si>
  <si>
    <t>Backlog 1 desil 2</t>
  </si>
  <si>
    <t>Backlog 1 desil 8</t>
  </si>
  <si>
    <t>Backlog 1 Desil 6-10</t>
  </si>
  <si>
    <t>Backlog 2 desil 8</t>
  </si>
  <si>
    <t>Backlog 2 desil 7</t>
  </si>
  <si>
    <t xml:space="preserve">Tidak masuk backlog perumahan desil </t>
  </si>
  <si>
    <t>- desil -</t>
  </si>
  <si>
    <t>No</t>
  </si>
  <si>
    <t>Nama Desa</t>
  </si>
  <si>
    <t>Nama Kecamatan</t>
  </si>
  <si>
    <t>Jumlah Alokasi</t>
  </si>
  <si>
    <t>TFL Teknik</t>
  </si>
  <si>
    <t>TFL Pemberdayaan</t>
  </si>
  <si>
    <t>Kontak PIC Lapangan</t>
  </si>
  <si>
    <t>Nama PIC Lapangan</t>
  </si>
  <si>
    <t>Alokasi perkecamatan</t>
  </si>
  <si>
    <t>TOTAL ALOKASI</t>
  </si>
  <si>
    <t>Muh Ridwan Adipratama</t>
  </si>
  <si>
    <t>Restha Rizky Fazriani</t>
  </si>
  <si>
    <t>Mohamad Sandy Suhendar</t>
  </si>
  <si>
    <t>Maryana Saumi Ulfah</t>
  </si>
  <si>
    <t>Aris Soleh Solihin</t>
  </si>
  <si>
    <t xml:space="preserve">Triadi Alamsyah </t>
  </si>
  <si>
    <t>Riska Arie Haryanti</t>
  </si>
  <si>
    <t>Karina Salsabila</t>
  </si>
  <si>
    <t>Rike Rindiany</t>
  </si>
  <si>
    <t>Casare Adi Nugraha</t>
  </si>
  <si>
    <t>Ujang Supriatna</t>
  </si>
  <si>
    <t>Septian Kurnia Sandi</t>
  </si>
  <si>
    <t>Fikri Muhamad Ikbal</t>
  </si>
  <si>
    <t>Leila Nursaileha</t>
  </si>
  <si>
    <t>Asri Indah Lestari Nuraeni</t>
  </si>
  <si>
    <t>Sri Sayekti</t>
  </si>
  <si>
    <t xml:space="preserve">Maulana Hasan </t>
  </si>
  <si>
    <t>Andra Abdul Rendra</t>
  </si>
  <si>
    <t>Lathifah Nasayyidah Sopiah</t>
  </si>
  <si>
    <t>Ambarwati Rahayu</t>
  </si>
  <si>
    <t>Rizky Diyah Purwanti</t>
  </si>
  <si>
    <t>Arizal M Saleh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</si>
</sst>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4"/>
      <name val="Bookman Old Style"/>
      <family val="1"/>
    </font>
    <font>
      <b/>
      <sz val="14"/>
      <color theme="1"/>
      <name val="Bookman Old Style"/>
      <family val="1"/>
    </font>
    <font>
      <sz val="14"/>
      <name val="Bookman Old Style"/>
      <family val="1"/>
    </font>
    <font>
      <b/>
      <sz val="13"/>
      <name val="Bookman Old Style"/>
      <family val="1"/>
    </font>
    <font>
      <sz val="13"/>
      <name val="Bookman Old Style"/>
      <family val="1"/>
    </font>
    <font>
      <sz val="13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5" fillId="2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1" xfId="0" applyFill="1" applyBorder="1" applyAlignment="1"/>
  </cellXfs>
  <cellStyles count="3">
    <cellStyle name="Comma" xfId="1" builtinId="3"/>
    <cellStyle name="Normal" xfId="0" builtinId="0"/>
    <cellStyle name="Normal 6" xfId="2" xr:uid="{D27AF32F-7519-40D6-8B0E-D3697C9C9A67}"/>
  </cellStyles>
  <dxfs count="3">
    <dxf>
      <fill>
        <patternFill>
          <bgColor rgb="FFFFFFCC"/>
        </patternFill>
      </fill>
    </dxf>
    <dxf>
      <font>
        <b/>
        <i val="0"/>
      </font>
    </dxf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DD8E-42D1-4CDC-B442-82F549518CDC}">
  <dimension ref="A1:R681"/>
  <sheetViews>
    <sheetView topLeftCell="A658" zoomScale="55" zoomScaleNormal="55" workbookViewId="0">
      <selection activeCell="R569" sqref="R569:R577"/>
    </sheetView>
  </sheetViews>
  <sheetFormatPr defaultRowHeight="14.25"/>
  <cols>
    <col min="1" max="1" width="9" customWidth="1"/>
    <col min="2" max="2" width="26.5" bestFit="1" customWidth="1"/>
    <col min="3" max="3" width="40.625" customWidth="1"/>
    <col min="4" max="4" width="8.625" customWidth="1"/>
    <col min="5" max="6" width="28.625" customWidth="1"/>
    <col min="7" max="7" width="40.625" customWidth="1"/>
    <col min="8" max="9" width="28.625" customWidth="1"/>
    <col min="10" max="12" width="28.625" hidden="1" customWidth="1"/>
    <col min="13" max="13" width="35.875" hidden="1" customWidth="1"/>
    <col min="14" max="14" width="83" hidden="1" customWidth="1"/>
    <col min="15" max="15" width="52" hidden="1" customWidth="1"/>
    <col min="16" max="16" width="40.5" hidden="1" customWidth="1"/>
  </cols>
  <sheetData>
    <row r="1" spans="1:18" ht="18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8" ht="18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8" ht="18">
      <c r="A3" s="16" t="s">
        <v>233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8" ht="18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</row>
    <row r="5" spans="1:18" ht="33.75" thickBot="1">
      <c r="A5" s="3" t="s">
        <v>2</v>
      </c>
      <c r="B5" s="4" t="s">
        <v>3</v>
      </c>
      <c r="C5" s="4" t="s">
        <v>4</v>
      </c>
      <c r="D5" s="4" t="s">
        <v>5</v>
      </c>
      <c r="E5" s="5" t="s">
        <v>6</v>
      </c>
      <c r="F5" s="6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</row>
    <row r="6" spans="1:18" ht="20.100000000000001" customHeight="1">
      <c r="A6" s="7">
        <v>1</v>
      </c>
      <c r="B6" s="8">
        <v>3204162001</v>
      </c>
      <c r="C6" s="9" t="s">
        <v>122</v>
      </c>
      <c r="D6" s="10" t="s">
        <v>22</v>
      </c>
      <c r="E6" s="11" t="s">
        <v>234</v>
      </c>
      <c r="F6" s="11" t="s">
        <v>235</v>
      </c>
      <c r="G6" s="9" t="s">
        <v>236</v>
      </c>
      <c r="H6" s="9" t="s">
        <v>237</v>
      </c>
      <c r="I6" s="9" t="s">
        <v>237</v>
      </c>
      <c r="J6" s="9" t="s">
        <v>100</v>
      </c>
      <c r="K6" s="12" t="s">
        <v>19</v>
      </c>
      <c r="L6" s="13" t="s">
        <v>20</v>
      </c>
      <c r="M6" s="12" t="s">
        <v>2604</v>
      </c>
      <c r="N6" s="12" t="s">
        <v>2605</v>
      </c>
      <c r="O6" s="12" t="s">
        <v>2606</v>
      </c>
      <c r="P6" s="14" t="s">
        <v>2607</v>
      </c>
      <c r="Q6">
        <v>1</v>
      </c>
      <c r="R6" s="19">
        <f>SUM(Q6:Q19)</f>
        <v>14</v>
      </c>
    </row>
    <row r="7" spans="1:18" ht="20.100000000000001" customHeight="1">
      <c r="A7" s="7">
        <v>2</v>
      </c>
      <c r="B7" s="8">
        <v>3204162001</v>
      </c>
      <c r="C7" s="9" t="s">
        <v>216</v>
      </c>
      <c r="D7" s="10" t="s">
        <v>22</v>
      </c>
      <c r="E7" s="11" t="s">
        <v>238</v>
      </c>
      <c r="F7" s="11" t="s">
        <v>239</v>
      </c>
      <c r="G7" s="9" t="s">
        <v>240</v>
      </c>
      <c r="H7" s="9" t="s">
        <v>237</v>
      </c>
      <c r="I7" s="9" t="s">
        <v>237</v>
      </c>
      <c r="J7" s="9" t="s">
        <v>100</v>
      </c>
      <c r="K7" s="12" t="s">
        <v>19</v>
      </c>
      <c r="L7" s="13" t="s">
        <v>20</v>
      </c>
      <c r="M7" s="12" t="s">
        <v>2604</v>
      </c>
      <c r="N7" s="12" t="s">
        <v>2605</v>
      </c>
      <c r="O7" s="12" t="s">
        <v>2608</v>
      </c>
      <c r="P7" s="14" t="s">
        <v>2607</v>
      </c>
      <c r="Q7">
        <v>1</v>
      </c>
      <c r="R7" s="20"/>
    </row>
    <row r="8" spans="1:18" ht="20.100000000000001" customHeight="1">
      <c r="A8" s="7">
        <v>3</v>
      </c>
      <c r="B8" s="8">
        <v>3204162001</v>
      </c>
      <c r="C8" s="9" t="s">
        <v>181</v>
      </c>
      <c r="D8" s="10" t="s">
        <v>18</v>
      </c>
      <c r="E8" s="11" t="s">
        <v>241</v>
      </c>
      <c r="F8" s="11" t="s">
        <v>242</v>
      </c>
      <c r="G8" s="9" t="s">
        <v>243</v>
      </c>
      <c r="H8" s="9" t="s">
        <v>237</v>
      </c>
      <c r="I8" s="9" t="s">
        <v>237</v>
      </c>
      <c r="J8" s="9" t="s">
        <v>100</v>
      </c>
      <c r="K8" s="12" t="s">
        <v>19</v>
      </c>
      <c r="L8" s="13" t="s">
        <v>20</v>
      </c>
      <c r="M8" s="12" t="s">
        <v>2604</v>
      </c>
      <c r="N8" s="12" t="s">
        <v>2605</v>
      </c>
      <c r="O8" s="12" t="s">
        <v>2609</v>
      </c>
      <c r="P8" s="14" t="s">
        <v>2610</v>
      </c>
      <c r="Q8">
        <v>1</v>
      </c>
      <c r="R8" s="20"/>
    </row>
    <row r="9" spans="1:18" ht="20.100000000000001" customHeight="1">
      <c r="A9" s="7">
        <v>4</v>
      </c>
      <c r="B9" s="8">
        <v>3204162001</v>
      </c>
      <c r="C9" s="9" t="s">
        <v>244</v>
      </c>
      <c r="D9" s="10" t="s">
        <v>22</v>
      </c>
      <c r="E9" s="11" t="s">
        <v>245</v>
      </c>
      <c r="F9" s="11" t="s">
        <v>246</v>
      </c>
      <c r="G9" s="9" t="s">
        <v>247</v>
      </c>
      <c r="H9" s="9" t="s">
        <v>237</v>
      </c>
      <c r="I9" s="9" t="s">
        <v>237</v>
      </c>
      <c r="J9" s="9" t="s">
        <v>100</v>
      </c>
      <c r="K9" s="12" t="s">
        <v>19</v>
      </c>
      <c r="L9" s="13" t="s">
        <v>20</v>
      </c>
      <c r="M9" s="12" t="s">
        <v>2604</v>
      </c>
      <c r="N9" s="12" t="s">
        <v>2605</v>
      </c>
      <c r="O9" s="12" t="s">
        <v>2609</v>
      </c>
      <c r="P9" s="14" t="s">
        <v>2610</v>
      </c>
      <c r="Q9">
        <v>1</v>
      </c>
      <c r="R9" s="20"/>
    </row>
    <row r="10" spans="1:18" ht="20.100000000000001" customHeight="1">
      <c r="A10" s="7">
        <v>5</v>
      </c>
      <c r="B10" s="8">
        <v>3204162001</v>
      </c>
      <c r="C10" s="9" t="s">
        <v>248</v>
      </c>
      <c r="D10" s="10" t="s">
        <v>18</v>
      </c>
      <c r="E10" s="11" t="s">
        <v>249</v>
      </c>
      <c r="F10" s="11" t="s">
        <v>250</v>
      </c>
      <c r="G10" s="9" t="s">
        <v>251</v>
      </c>
      <c r="H10" s="9" t="s">
        <v>237</v>
      </c>
      <c r="I10" s="9" t="s">
        <v>237</v>
      </c>
      <c r="J10" s="9" t="s">
        <v>100</v>
      </c>
      <c r="K10" s="12" t="s">
        <v>19</v>
      </c>
      <c r="L10" s="13" t="s">
        <v>20</v>
      </c>
      <c r="M10" s="12" t="s">
        <v>2604</v>
      </c>
      <c r="N10" s="12" t="s">
        <v>2605</v>
      </c>
      <c r="O10" s="12" t="s">
        <v>2608</v>
      </c>
      <c r="P10" s="14" t="s">
        <v>2607</v>
      </c>
      <c r="Q10">
        <v>1</v>
      </c>
      <c r="R10" s="20"/>
    </row>
    <row r="11" spans="1:18" ht="20.100000000000001" customHeight="1">
      <c r="A11" s="7">
        <v>6</v>
      </c>
      <c r="B11" s="8">
        <v>3204162001</v>
      </c>
      <c r="C11" s="9" t="s">
        <v>77</v>
      </c>
      <c r="D11" s="10" t="s">
        <v>22</v>
      </c>
      <c r="E11" s="11" t="s">
        <v>252</v>
      </c>
      <c r="F11" s="11" t="s">
        <v>253</v>
      </c>
      <c r="G11" s="9" t="s">
        <v>254</v>
      </c>
      <c r="H11" s="9" t="s">
        <v>237</v>
      </c>
      <c r="I11" s="9" t="s">
        <v>237</v>
      </c>
      <c r="J11" s="9" t="s">
        <v>100</v>
      </c>
      <c r="K11" s="12" t="s">
        <v>19</v>
      </c>
      <c r="L11" s="13" t="s">
        <v>20</v>
      </c>
      <c r="M11" s="12" t="s">
        <v>2604</v>
      </c>
      <c r="N11" s="12" t="s">
        <v>2605</v>
      </c>
      <c r="O11" s="12" t="s">
        <v>2611</v>
      </c>
      <c r="P11" s="14" t="s">
        <v>2607</v>
      </c>
      <c r="Q11">
        <v>1</v>
      </c>
      <c r="R11" s="20"/>
    </row>
    <row r="12" spans="1:18" ht="20.100000000000001" customHeight="1">
      <c r="A12" s="7">
        <v>7</v>
      </c>
      <c r="B12" s="8">
        <v>3204162001</v>
      </c>
      <c r="C12" s="9" t="s">
        <v>255</v>
      </c>
      <c r="D12" s="10" t="s">
        <v>22</v>
      </c>
      <c r="E12" s="11" t="s">
        <v>256</v>
      </c>
      <c r="F12" s="11" t="s">
        <v>257</v>
      </c>
      <c r="G12" s="9" t="s">
        <v>258</v>
      </c>
      <c r="H12" s="9" t="s">
        <v>237</v>
      </c>
      <c r="I12" s="9" t="s">
        <v>237</v>
      </c>
      <c r="J12" s="9" t="s">
        <v>100</v>
      </c>
      <c r="K12" s="12" t="s">
        <v>19</v>
      </c>
      <c r="L12" s="13" t="s">
        <v>20</v>
      </c>
      <c r="M12" s="12" t="s">
        <v>2604</v>
      </c>
      <c r="N12" s="12" t="s">
        <v>2605</v>
      </c>
      <c r="O12" s="12" t="s">
        <v>2608</v>
      </c>
      <c r="P12" s="14" t="s">
        <v>2607</v>
      </c>
      <c r="Q12">
        <v>1</v>
      </c>
      <c r="R12" s="20"/>
    </row>
    <row r="13" spans="1:18" ht="20.100000000000001" customHeight="1">
      <c r="A13" s="7">
        <v>8</v>
      </c>
      <c r="B13" s="8">
        <v>3204162001</v>
      </c>
      <c r="C13" s="9" t="s">
        <v>96</v>
      </c>
      <c r="D13" s="10" t="s">
        <v>22</v>
      </c>
      <c r="E13" s="11" t="s">
        <v>259</v>
      </c>
      <c r="F13" s="11" t="s">
        <v>260</v>
      </c>
      <c r="G13" s="9" t="s">
        <v>261</v>
      </c>
      <c r="H13" s="9" t="s">
        <v>237</v>
      </c>
      <c r="I13" s="9" t="s">
        <v>237</v>
      </c>
      <c r="J13" s="9" t="s">
        <v>100</v>
      </c>
      <c r="K13" s="12" t="s">
        <v>19</v>
      </c>
      <c r="L13" s="13" t="s">
        <v>20</v>
      </c>
      <c r="M13" s="12" t="s">
        <v>2604</v>
      </c>
      <c r="N13" s="12" t="s">
        <v>2605</v>
      </c>
      <c r="O13" s="12" t="s">
        <v>2612</v>
      </c>
      <c r="P13" s="14" t="s">
        <v>2613</v>
      </c>
      <c r="Q13">
        <v>1</v>
      </c>
      <c r="R13" s="20"/>
    </row>
    <row r="14" spans="1:18" ht="20.100000000000001" customHeight="1">
      <c r="A14" s="7">
        <v>9</v>
      </c>
      <c r="B14" s="8">
        <v>3204162001</v>
      </c>
      <c r="C14" s="9" t="s">
        <v>262</v>
      </c>
      <c r="D14" s="10" t="s">
        <v>22</v>
      </c>
      <c r="E14" s="11" t="s">
        <v>263</v>
      </c>
      <c r="F14" s="11" t="s">
        <v>264</v>
      </c>
      <c r="G14" s="9" t="s">
        <v>265</v>
      </c>
      <c r="H14" s="9" t="s">
        <v>237</v>
      </c>
      <c r="I14" s="9" t="s">
        <v>237</v>
      </c>
      <c r="J14" s="9" t="s">
        <v>100</v>
      </c>
      <c r="K14" s="12" t="s">
        <v>19</v>
      </c>
      <c r="L14" s="13" t="s">
        <v>20</v>
      </c>
      <c r="M14" s="12" t="s">
        <v>2604</v>
      </c>
      <c r="N14" s="12" t="s">
        <v>2605</v>
      </c>
      <c r="O14" s="12" t="s">
        <v>2611</v>
      </c>
      <c r="P14" s="14" t="s">
        <v>2607</v>
      </c>
      <c r="Q14">
        <v>1</v>
      </c>
      <c r="R14" s="20"/>
    </row>
    <row r="15" spans="1:18" ht="20.100000000000001" customHeight="1">
      <c r="A15" s="7">
        <v>10</v>
      </c>
      <c r="B15" s="8">
        <v>3204162001</v>
      </c>
      <c r="C15" s="9" t="s">
        <v>266</v>
      </c>
      <c r="D15" s="10" t="s">
        <v>22</v>
      </c>
      <c r="E15" s="11" t="s">
        <v>267</v>
      </c>
      <c r="F15" s="11" t="s">
        <v>268</v>
      </c>
      <c r="G15" s="9" t="s">
        <v>269</v>
      </c>
      <c r="H15" s="9" t="s">
        <v>237</v>
      </c>
      <c r="I15" s="9" t="s">
        <v>237</v>
      </c>
      <c r="J15" s="9" t="s">
        <v>100</v>
      </c>
      <c r="K15" s="12" t="s">
        <v>19</v>
      </c>
      <c r="L15" s="13" t="s">
        <v>20</v>
      </c>
      <c r="M15" s="12" t="s">
        <v>2604</v>
      </c>
      <c r="N15" s="12" t="s">
        <v>2605</v>
      </c>
      <c r="O15" s="12" t="s">
        <v>2606</v>
      </c>
      <c r="P15" s="14" t="s">
        <v>2607</v>
      </c>
      <c r="Q15">
        <v>1</v>
      </c>
      <c r="R15" s="20"/>
    </row>
    <row r="16" spans="1:18" ht="20.100000000000001" customHeight="1">
      <c r="A16" s="7">
        <v>11</v>
      </c>
      <c r="B16" s="8">
        <v>3204162001</v>
      </c>
      <c r="C16" s="9" t="s">
        <v>176</v>
      </c>
      <c r="D16" s="10" t="s">
        <v>22</v>
      </c>
      <c r="E16" s="11" t="s">
        <v>270</v>
      </c>
      <c r="F16" s="11" t="s">
        <v>271</v>
      </c>
      <c r="G16" s="9" t="s">
        <v>272</v>
      </c>
      <c r="H16" s="9" t="s">
        <v>237</v>
      </c>
      <c r="I16" s="9" t="s">
        <v>237</v>
      </c>
      <c r="J16" s="9" t="s">
        <v>100</v>
      </c>
      <c r="K16" s="12" t="s">
        <v>19</v>
      </c>
      <c r="L16" s="13" t="s">
        <v>20</v>
      </c>
      <c r="M16" s="12" t="s">
        <v>2604</v>
      </c>
      <c r="N16" s="12" t="s">
        <v>2605</v>
      </c>
      <c r="O16" s="12" t="s">
        <v>2609</v>
      </c>
      <c r="P16" s="14" t="s">
        <v>2610</v>
      </c>
      <c r="Q16">
        <v>1</v>
      </c>
      <c r="R16" s="20"/>
    </row>
    <row r="17" spans="1:18" ht="20.100000000000001" customHeight="1">
      <c r="A17" s="7">
        <v>12</v>
      </c>
      <c r="B17" s="8">
        <v>3204162001</v>
      </c>
      <c r="C17" s="9" t="s">
        <v>273</v>
      </c>
      <c r="D17" s="10" t="s">
        <v>18</v>
      </c>
      <c r="E17" s="11" t="s">
        <v>274</v>
      </c>
      <c r="F17" s="11" t="s">
        <v>275</v>
      </c>
      <c r="G17" s="9" t="s">
        <v>276</v>
      </c>
      <c r="H17" s="9" t="s">
        <v>237</v>
      </c>
      <c r="I17" s="9" t="s">
        <v>237</v>
      </c>
      <c r="J17" s="9" t="s">
        <v>100</v>
      </c>
      <c r="K17" s="12" t="s">
        <v>19</v>
      </c>
      <c r="L17" s="13" t="s">
        <v>20</v>
      </c>
      <c r="M17" s="12" t="s">
        <v>2604</v>
      </c>
      <c r="N17" s="12" t="s">
        <v>2605</v>
      </c>
      <c r="O17" s="12" t="s">
        <v>2608</v>
      </c>
      <c r="P17" s="14" t="s">
        <v>2607</v>
      </c>
      <c r="Q17">
        <v>1</v>
      </c>
      <c r="R17" s="20"/>
    </row>
    <row r="18" spans="1:18" ht="20.100000000000001" customHeight="1">
      <c r="A18" s="7">
        <v>13</v>
      </c>
      <c r="B18" s="8">
        <v>3204162001</v>
      </c>
      <c r="C18" s="9" t="s">
        <v>219</v>
      </c>
      <c r="D18" s="10" t="s">
        <v>22</v>
      </c>
      <c r="E18" s="11" t="s">
        <v>277</v>
      </c>
      <c r="F18" s="11" t="s">
        <v>278</v>
      </c>
      <c r="G18" s="9" t="s">
        <v>279</v>
      </c>
      <c r="H18" s="9" t="s">
        <v>237</v>
      </c>
      <c r="I18" s="9" t="s">
        <v>237</v>
      </c>
      <c r="J18" s="9" t="s">
        <v>100</v>
      </c>
      <c r="K18" s="12" t="s">
        <v>19</v>
      </c>
      <c r="L18" s="13" t="s">
        <v>20</v>
      </c>
      <c r="M18" s="12" t="s">
        <v>2604</v>
      </c>
      <c r="N18" s="12" t="s">
        <v>2605</v>
      </c>
      <c r="O18" s="12" t="s">
        <v>2608</v>
      </c>
      <c r="P18" s="14" t="s">
        <v>2607</v>
      </c>
      <c r="Q18">
        <v>1</v>
      </c>
      <c r="R18" s="20"/>
    </row>
    <row r="19" spans="1:18" ht="20.100000000000001" customHeight="1">
      <c r="A19" s="7">
        <v>14</v>
      </c>
      <c r="B19" s="8">
        <v>3204162001</v>
      </c>
      <c r="C19" s="9" t="s">
        <v>36</v>
      </c>
      <c r="D19" s="10" t="s">
        <v>22</v>
      </c>
      <c r="E19" s="11" t="s">
        <v>280</v>
      </c>
      <c r="F19" s="11" t="s">
        <v>281</v>
      </c>
      <c r="G19" s="9" t="s">
        <v>282</v>
      </c>
      <c r="H19" s="9" t="s">
        <v>237</v>
      </c>
      <c r="I19" s="9" t="s">
        <v>237</v>
      </c>
      <c r="J19" s="9" t="s">
        <v>100</v>
      </c>
      <c r="K19" s="12" t="s">
        <v>19</v>
      </c>
      <c r="L19" s="13" t="s">
        <v>20</v>
      </c>
      <c r="M19" s="12" t="s">
        <v>2604</v>
      </c>
      <c r="N19" s="12" t="s">
        <v>2605</v>
      </c>
      <c r="O19" s="12" t="s">
        <v>2608</v>
      </c>
      <c r="P19" s="14" t="s">
        <v>2607</v>
      </c>
      <c r="Q19">
        <v>1</v>
      </c>
      <c r="R19" s="20"/>
    </row>
    <row r="20" spans="1:18" ht="20.100000000000001" customHeight="1">
      <c r="A20" s="7">
        <v>15</v>
      </c>
      <c r="B20" s="8">
        <v>3204162010</v>
      </c>
      <c r="C20" s="9" t="s">
        <v>283</v>
      </c>
      <c r="D20" s="10" t="s">
        <v>18</v>
      </c>
      <c r="E20" s="11" t="s">
        <v>284</v>
      </c>
      <c r="F20" s="11" t="s">
        <v>285</v>
      </c>
      <c r="G20" s="9" t="s">
        <v>286</v>
      </c>
      <c r="H20" s="9" t="s">
        <v>287</v>
      </c>
      <c r="I20" s="9" t="s">
        <v>237</v>
      </c>
      <c r="J20" s="9" t="s">
        <v>100</v>
      </c>
      <c r="K20" s="12" t="s">
        <v>19</v>
      </c>
      <c r="L20" s="13" t="s">
        <v>20</v>
      </c>
      <c r="M20" s="12" t="s">
        <v>2604</v>
      </c>
      <c r="N20" s="12" t="s">
        <v>2605</v>
      </c>
      <c r="O20" s="12" t="s">
        <v>2614</v>
      </c>
      <c r="P20" s="14" t="s">
        <v>2615</v>
      </c>
      <c r="Q20">
        <v>1</v>
      </c>
      <c r="R20" s="20">
        <f>SUM(Q20:Q32)</f>
        <v>13</v>
      </c>
    </row>
    <row r="21" spans="1:18" ht="20.100000000000001" customHeight="1">
      <c r="A21" s="7">
        <v>16</v>
      </c>
      <c r="B21" s="8">
        <v>3204162010</v>
      </c>
      <c r="C21" s="9" t="s">
        <v>152</v>
      </c>
      <c r="D21" s="10" t="s">
        <v>22</v>
      </c>
      <c r="E21" s="11" t="s">
        <v>288</v>
      </c>
      <c r="F21" s="11" t="s">
        <v>289</v>
      </c>
      <c r="G21" s="9" t="s">
        <v>290</v>
      </c>
      <c r="H21" s="9" t="s">
        <v>287</v>
      </c>
      <c r="I21" s="9" t="s">
        <v>237</v>
      </c>
      <c r="J21" s="9" t="s">
        <v>100</v>
      </c>
      <c r="K21" s="12" t="s">
        <v>19</v>
      </c>
      <c r="L21" s="13" t="s">
        <v>20</v>
      </c>
      <c r="M21" s="12" t="s">
        <v>2604</v>
      </c>
      <c r="N21" s="12" t="s">
        <v>2605</v>
      </c>
      <c r="O21" s="12" t="s">
        <v>2616</v>
      </c>
      <c r="P21" s="14" t="s">
        <v>2607</v>
      </c>
      <c r="Q21">
        <v>1</v>
      </c>
      <c r="R21" s="20"/>
    </row>
    <row r="22" spans="1:18" ht="20.100000000000001" customHeight="1">
      <c r="A22" s="7">
        <v>17</v>
      </c>
      <c r="B22" s="8">
        <v>3204162010</v>
      </c>
      <c r="C22" s="9" t="s">
        <v>68</v>
      </c>
      <c r="D22" s="10" t="s">
        <v>22</v>
      </c>
      <c r="E22" s="11" t="s">
        <v>291</v>
      </c>
      <c r="F22" s="11" t="s">
        <v>292</v>
      </c>
      <c r="G22" s="9" t="s">
        <v>293</v>
      </c>
      <c r="H22" s="9" t="s">
        <v>287</v>
      </c>
      <c r="I22" s="9" t="s">
        <v>237</v>
      </c>
      <c r="J22" s="9" t="s">
        <v>100</v>
      </c>
      <c r="K22" s="12" t="s">
        <v>19</v>
      </c>
      <c r="L22" s="13" t="s">
        <v>20</v>
      </c>
      <c r="M22" s="12" t="s">
        <v>2604</v>
      </c>
      <c r="N22" s="12" t="s">
        <v>2605</v>
      </c>
      <c r="O22" s="12" t="s">
        <v>2617</v>
      </c>
      <c r="P22" s="14" t="s">
        <v>2610</v>
      </c>
      <c r="Q22">
        <v>1</v>
      </c>
      <c r="R22" s="20"/>
    </row>
    <row r="23" spans="1:18" ht="20.100000000000001" customHeight="1">
      <c r="A23" s="7">
        <v>18</v>
      </c>
      <c r="B23" s="8">
        <v>3204162010</v>
      </c>
      <c r="C23" s="9" t="s">
        <v>294</v>
      </c>
      <c r="D23" s="10" t="s">
        <v>22</v>
      </c>
      <c r="E23" s="11" t="s">
        <v>295</v>
      </c>
      <c r="F23" s="11" t="s">
        <v>296</v>
      </c>
      <c r="G23" s="9" t="s">
        <v>297</v>
      </c>
      <c r="H23" s="9" t="s">
        <v>287</v>
      </c>
      <c r="I23" s="9" t="s">
        <v>237</v>
      </c>
      <c r="J23" s="9" t="s">
        <v>100</v>
      </c>
      <c r="K23" s="12" t="s">
        <v>19</v>
      </c>
      <c r="L23" s="13" t="s">
        <v>20</v>
      </c>
      <c r="M23" s="12" t="s">
        <v>2604</v>
      </c>
      <c r="N23" s="12" t="s">
        <v>2605</v>
      </c>
      <c r="O23" s="12" t="s">
        <v>2611</v>
      </c>
      <c r="P23" s="14" t="s">
        <v>2607</v>
      </c>
      <c r="Q23">
        <v>1</v>
      </c>
      <c r="R23" s="20"/>
    </row>
    <row r="24" spans="1:18" ht="20.100000000000001" customHeight="1">
      <c r="A24" s="7">
        <v>19</v>
      </c>
      <c r="B24" s="8">
        <v>3204162010</v>
      </c>
      <c r="C24" s="9" t="s">
        <v>298</v>
      </c>
      <c r="D24" s="10" t="s">
        <v>18</v>
      </c>
      <c r="E24" s="11" t="s">
        <v>299</v>
      </c>
      <c r="F24" s="11" t="s">
        <v>300</v>
      </c>
      <c r="G24" s="9" t="s">
        <v>301</v>
      </c>
      <c r="H24" s="9" t="s">
        <v>287</v>
      </c>
      <c r="I24" s="9" t="s">
        <v>237</v>
      </c>
      <c r="J24" s="9" t="s">
        <v>100</v>
      </c>
      <c r="K24" s="12" t="s">
        <v>19</v>
      </c>
      <c r="L24" s="13" t="s">
        <v>20</v>
      </c>
      <c r="M24" s="12" t="s">
        <v>2604</v>
      </c>
      <c r="N24" s="12" t="s">
        <v>2605</v>
      </c>
      <c r="O24" s="12" t="s">
        <v>2611</v>
      </c>
      <c r="P24" s="14" t="s">
        <v>2607</v>
      </c>
      <c r="Q24">
        <v>1</v>
      </c>
      <c r="R24" s="20"/>
    </row>
    <row r="25" spans="1:18" ht="20.100000000000001" customHeight="1">
      <c r="A25" s="7">
        <v>20</v>
      </c>
      <c r="B25" s="8">
        <v>3204162010</v>
      </c>
      <c r="C25" s="9" t="s">
        <v>302</v>
      </c>
      <c r="D25" s="10" t="s">
        <v>18</v>
      </c>
      <c r="E25" s="11" t="s">
        <v>303</v>
      </c>
      <c r="F25" s="11" t="s">
        <v>304</v>
      </c>
      <c r="G25" s="9" t="s">
        <v>305</v>
      </c>
      <c r="H25" s="9" t="s">
        <v>287</v>
      </c>
      <c r="I25" s="9" t="s">
        <v>237</v>
      </c>
      <c r="J25" s="9" t="s">
        <v>100</v>
      </c>
      <c r="K25" s="12" t="s">
        <v>19</v>
      </c>
      <c r="L25" s="13" t="s">
        <v>20</v>
      </c>
      <c r="M25" s="12" t="s">
        <v>2604</v>
      </c>
      <c r="N25" s="12" t="s">
        <v>2605</v>
      </c>
      <c r="O25" s="12" t="s">
        <v>2618</v>
      </c>
      <c r="P25" s="14" t="s">
        <v>2610</v>
      </c>
      <c r="Q25">
        <v>1</v>
      </c>
      <c r="R25" s="20"/>
    </row>
    <row r="26" spans="1:18" ht="20.100000000000001" customHeight="1">
      <c r="A26" s="7">
        <v>21</v>
      </c>
      <c r="B26" s="8">
        <v>3204162010</v>
      </c>
      <c r="C26" s="9" t="s">
        <v>306</v>
      </c>
      <c r="D26" s="10" t="s">
        <v>22</v>
      </c>
      <c r="E26" s="11" t="s">
        <v>307</v>
      </c>
      <c r="F26" s="11" t="s">
        <v>308</v>
      </c>
      <c r="G26" s="9" t="s">
        <v>309</v>
      </c>
      <c r="H26" s="9" t="s">
        <v>287</v>
      </c>
      <c r="I26" s="9" t="s">
        <v>237</v>
      </c>
      <c r="J26" s="9" t="s">
        <v>100</v>
      </c>
      <c r="K26" s="12" t="s">
        <v>19</v>
      </c>
      <c r="L26" s="13" t="s">
        <v>20</v>
      </c>
      <c r="M26" s="12" t="s">
        <v>2604</v>
      </c>
      <c r="N26" s="12" t="s">
        <v>2605</v>
      </c>
      <c r="O26" s="12" t="s">
        <v>2619</v>
      </c>
      <c r="P26" s="14" t="s">
        <v>2610</v>
      </c>
      <c r="Q26">
        <v>1</v>
      </c>
      <c r="R26" s="20"/>
    </row>
    <row r="27" spans="1:18" ht="20.100000000000001" customHeight="1">
      <c r="A27" s="7">
        <v>22</v>
      </c>
      <c r="B27" s="8">
        <v>3204162010</v>
      </c>
      <c r="C27" s="9" t="s">
        <v>310</v>
      </c>
      <c r="D27" s="10" t="s">
        <v>22</v>
      </c>
      <c r="E27" s="11" t="s">
        <v>311</v>
      </c>
      <c r="F27" s="11" t="s">
        <v>312</v>
      </c>
      <c r="G27" s="9" t="s">
        <v>313</v>
      </c>
      <c r="H27" s="9" t="s">
        <v>287</v>
      </c>
      <c r="I27" s="9" t="s">
        <v>237</v>
      </c>
      <c r="J27" s="9" t="s">
        <v>100</v>
      </c>
      <c r="K27" s="12" t="s">
        <v>19</v>
      </c>
      <c r="L27" s="13" t="s">
        <v>20</v>
      </c>
      <c r="M27" s="12" t="s">
        <v>2604</v>
      </c>
      <c r="N27" s="12" t="s">
        <v>2605</v>
      </c>
      <c r="O27" s="12" t="s">
        <v>2616</v>
      </c>
      <c r="P27" s="14" t="s">
        <v>2607</v>
      </c>
      <c r="Q27">
        <v>1</v>
      </c>
      <c r="R27" s="20"/>
    </row>
    <row r="28" spans="1:18" ht="20.100000000000001" customHeight="1">
      <c r="A28" s="7">
        <v>23</v>
      </c>
      <c r="B28" s="8">
        <v>3204162010</v>
      </c>
      <c r="C28" s="9" t="s">
        <v>314</v>
      </c>
      <c r="D28" s="10" t="s">
        <v>22</v>
      </c>
      <c r="E28" s="11" t="s">
        <v>315</v>
      </c>
      <c r="F28" s="11" t="s">
        <v>316</v>
      </c>
      <c r="G28" s="9" t="s">
        <v>317</v>
      </c>
      <c r="H28" s="9" t="s">
        <v>287</v>
      </c>
      <c r="I28" s="9" t="s">
        <v>237</v>
      </c>
      <c r="J28" s="9" t="s">
        <v>100</v>
      </c>
      <c r="K28" s="12" t="s">
        <v>19</v>
      </c>
      <c r="L28" s="13" t="s">
        <v>20</v>
      </c>
      <c r="M28" s="12" t="s">
        <v>2604</v>
      </c>
      <c r="N28" s="12" t="s">
        <v>2605</v>
      </c>
      <c r="O28" s="12" t="s">
        <v>2620</v>
      </c>
      <c r="P28" s="14" t="s">
        <v>2615</v>
      </c>
      <c r="Q28">
        <v>1</v>
      </c>
      <c r="R28" s="20"/>
    </row>
    <row r="29" spans="1:18" ht="20.100000000000001" customHeight="1">
      <c r="A29" s="7">
        <v>24</v>
      </c>
      <c r="B29" s="8">
        <v>3204162010</v>
      </c>
      <c r="C29" s="9" t="s">
        <v>318</v>
      </c>
      <c r="D29" s="10" t="s">
        <v>22</v>
      </c>
      <c r="E29" s="11" t="s">
        <v>319</v>
      </c>
      <c r="F29" s="11" t="s">
        <v>320</v>
      </c>
      <c r="G29" s="9" t="s">
        <v>321</v>
      </c>
      <c r="H29" s="9" t="s">
        <v>287</v>
      </c>
      <c r="I29" s="9" t="s">
        <v>237</v>
      </c>
      <c r="J29" s="9" t="s">
        <v>100</v>
      </c>
      <c r="K29" s="12" t="s">
        <v>19</v>
      </c>
      <c r="L29" s="13" t="s">
        <v>20</v>
      </c>
      <c r="M29" s="12" t="s">
        <v>2604</v>
      </c>
      <c r="N29" s="12" t="s">
        <v>2605</v>
      </c>
      <c r="O29" s="12" t="s">
        <v>2608</v>
      </c>
      <c r="P29" s="14" t="s">
        <v>2607</v>
      </c>
      <c r="Q29">
        <v>1</v>
      </c>
      <c r="R29" s="20"/>
    </row>
    <row r="30" spans="1:18" ht="20.100000000000001" customHeight="1">
      <c r="A30" s="7">
        <v>25</v>
      </c>
      <c r="B30" s="8">
        <v>3204162010</v>
      </c>
      <c r="C30" s="9" t="s">
        <v>322</v>
      </c>
      <c r="D30" s="10" t="s">
        <v>18</v>
      </c>
      <c r="E30" s="11" t="s">
        <v>323</v>
      </c>
      <c r="F30" s="11" t="s">
        <v>324</v>
      </c>
      <c r="G30" s="9" t="s">
        <v>325</v>
      </c>
      <c r="H30" s="9" t="s">
        <v>287</v>
      </c>
      <c r="I30" s="9" t="s">
        <v>237</v>
      </c>
      <c r="J30" s="9" t="s">
        <v>100</v>
      </c>
      <c r="K30" s="12" t="s">
        <v>19</v>
      </c>
      <c r="L30" s="13" t="s">
        <v>20</v>
      </c>
      <c r="M30" s="12" t="s">
        <v>2604</v>
      </c>
      <c r="N30" s="12" t="s">
        <v>2605</v>
      </c>
      <c r="O30" s="12" t="s">
        <v>2609</v>
      </c>
      <c r="P30" s="14" t="s">
        <v>2610</v>
      </c>
      <c r="Q30">
        <v>1</v>
      </c>
      <c r="R30" s="20"/>
    </row>
    <row r="31" spans="1:18" ht="20.100000000000001" customHeight="1">
      <c r="A31" s="7">
        <v>26</v>
      </c>
      <c r="B31" s="8">
        <v>3204162010</v>
      </c>
      <c r="C31" s="9" t="s">
        <v>326</v>
      </c>
      <c r="D31" s="10" t="s">
        <v>22</v>
      </c>
      <c r="E31" s="11" t="s">
        <v>327</v>
      </c>
      <c r="F31" s="11" t="s">
        <v>328</v>
      </c>
      <c r="G31" s="9" t="s">
        <v>329</v>
      </c>
      <c r="H31" s="9" t="s">
        <v>287</v>
      </c>
      <c r="I31" s="9" t="s">
        <v>237</v>
      </c>
      <c r="J31" s="9" t="s">
        <v>100</v>
      </c>
      <c r="K31" s="12" t="s">
        <v>19</v>
      </c>
      <c r="L31" s="13" t="s">
        <v>20</v>
      </c>
      <c r="M31" s="12" t="s">
        <v>2604</v>
      </c>
      <c r="N31" s="12" t="s">
        <v>2605</v>
      </c>
      <c r="O31" s="12" t="s">
        <v>2611</v>
      </c>
      <c r="P31" s="14" t="s">
        <v>2607</v>
      </c>
      <c r="Q31">
        <v>1</v>
      </c>
      <c r="R31" s="20"/>
    </row>
    <row r="32" spans="1:18" ht="20.100000000000001" customHeight="1">
      <c r="A32" s="7">
        <v>27</v>
      </c>
      <c r="B32" s="8">
        <v>3204162010</v>
      </c>
      <c r="C32" s="9" t="s">
        <v>330</v>
      </c>
      <c r="D32" s="10" t="s">
        <v>22</v>
      </c>
      <c r="E32" s="11" t="s">
        <v>331</v>
      </c>
      <c r="F32" s="11" t="s">
        <v>332</v>
      </c>
      <c r="G32" s="9" t="s">
        <v>333</v>
      </c>
      <c r="H32" s="9" t="s">
        <v>287</v>
      </c>
      <c r="I32" s="9" t="s">
        <v>237</v>
      </c>
      <c r="J32" s="9" t="s">
        <v>100</v>
      </c>
      <c r="K32" s="12" t="s">
        <v>19</v>
      </c>
      <c r="L32" s="13" t="s">
        <v>20</v>
      </c>
      <c r="M32" s="12" t="s">
        <v>2604</v>
      </c>
      <c r="N32" s="12" t="s">
        <v>2605</v>
      </c>
      <c r="O32" s="12" t="s">
        <v>195</v>
      </c>
      <c r="P32" s="14" t="s">
        <v>2621</v>
      </c>
      <c r="Q32">
        <v>1</v>
      </c>
      <c r="R32" s="20"/>
    </row>
    <row r="33" spans="1:18" ht="20.100000000000001" customHeight="1">
      <c r="A33" s="7">
        <v>28</v>
      </c>
      <c r="B33" s="8">
        <v>3204321004</v>
      </c>
      <c r="C33" s="9" t="s">
        <v>334</v>
      </c>
      <c r="D33" s="10" t="s">
        <v>22</v>
      </c>
      <c r="E33" s="11" t="s">
        <v>335</v>
      </c>
      <c r="F33" s="11" t="s">
        <v>336</v>
      </c>
      <c r="G33" s="9" t="s">
        <v>337</v>
      </c>
      <c r="H33" s="9" t="s">
        <v>338</v>
      </c>
      <c r="I33" s="9" t="s">
        <v>339</v>
      </c>
      <c r="J33" s="9" t="s">
        <v>100</v>
      </c>
      <c r="K33" s="12" t="s">
        <v>19</v>
      </c>
      <c r="L33" s="13" t="s">
        <v>20</v>
      </c>
      <c r="M33" s="12" t="s">
        <v>2604</v>
      </c>
      <c r="N33" s="12" t="s">
        <v>2605</v>
      </c>
      <c r="O33" s="12" t="s">
        <v>2616</v>
      </c>
      <c r="P33" s="14" t="s">
        <v>2607</v>
      </c>
      <c r="Q33">
        <v>1</v>
      </c>
      <c r="R33" s="20">
        <f>SUM(Q33:Q46)</f>
        <v>14</v>
      </c>
    </row>
    <row r="34" spans="1:18" ht="20.100000000000001" customHeight="1">
      <c r="A34" s="7">
        <v>29</v>
      </c>
      <c r="B34" s="8">
        <v>3204321004</v>
      </c>
      <c r="C34" s="9" t="s">
        <v>340</v>
      </c>
      <c r="D34" s="10" t="s">
        <v>22</v>
      </c>
      <c r="E34" s="11" t="s">
        <v>341</v>
      </c>
      <c r="F34" s="11" t="s">
        <v>342</v>
      </c>
      <c r="G34" s="9" t="s">
        <v>337</v>
      </c>
      <c r="H34" s="9" t="s">
        <v>338</v>
      </c>
      <c r="I34" s="9" t="s">
        <v>339</v>
      </c>
      <c r="J34" s="9" t="s">
        <v>100</v>
      </c>
      <c r="K34" s="12" t="s">
        <v>19</v>
      </c>
      <c r="L34" s="13" t="s">
        <v>20</v>
      </c>
      <c r="M34" s="12" t="s">
        <v>2604</v>
      </c>
      <c r="N34" s="12" t="s">
        <v>2605</v>
      </c>
      <c r="O34" s="12" t="s">
        <v>2616</v>
      </c>
      <c r="P34" s="14" t="s">
        <v>2607</v>
      </c>
      <c r="Q34">
        <v>1</v>
      </c>
      <c r="R34" s="20"/>
    </row>
    <row r="35" spans="1:18" ht="20.100000000000001" customHeight="1">
      <c r="A35" s="7">
        <v>30</v>
      </c>
      <c r="B35" s="8">
        <v>3204321004</v>
      </c>
      <c r="C35" s="9" t="s">
        <v>214</v>
      </c>
      <c r="D35" s="10" t="s">
        <v>22</v>
      </c>
      <c r="E35" s="11" t="s">
        <v>343</v>
      </c>
      <c r="F35" s="11" t="s">
        <v>344</v>
      </c>
      <c r="G35" s="9" t="s">
        <v>345</v>
      </c>
      <c r="H35" s="9" t="s">
        <v>338</v>
      </c>
      <c r="I35" s="9" t="s">
        <v>339</v>
      </c>
      <c r="J35" s="9" t="s">
        <v>100</v>
      </c>
      <c r="K35" s="12" t="s">
        <v>19</v>
      </c>
      <c r="L35" s="13" t="s">
        <v>20</v>
      </c>
      <c r="M35" s="12" t="s">
        <v>2604</v>
      </c>
      <c r="N35" s="12" t="s">
        <v>2605</v>
      </c>
      <c r="O35" s="12" t="s">
        <v>2616</v>
      </c>
      <c r="P35" s="14" t="s">
        <v>2607</v>
      </c>
      <c r="Q35">
        <v>1</v>
      </c>
      <c r="R35" s="20"/>
    </row>
    <row r="36" spans="1:18" ht="20.100000000000001" customHeight="1">
      <c r="A36" s="7">
        <v>31</v>
      </c>
      <c r="B36" s="8">
        <v>3204321004</v>
      </c>
      <c r="C36" s="9" t="s">
        <v>179</v>
      </c>
      <c r="D36" s="10" t="s">
        <v>18</v>
      </c>
      <c r="E36" s="11" t="s">
        <v>346</v>
      </c>
      <c r="F36" s="11" t="s">
        <v>347</v>
      </c>
      <c r="G36" s="9" t="s">
        <v>348</v>
      </c>
      <c r="H36" s="9" t="s">
        <v>338</v>
      </c>
      <c r="I36" s="9" t="s">
        <v>339</v>
      </c>
      <c r="J36" s="9" t="s">
        <v>100</v>
      </c>
      <c r="K36" s="12" t="s">
        <v>19</v>
      </c>
      <c r="L36" s="13" t="s">
        <v>20</v>
      </c>
      <c r="M36" s="12" t="s">
        <v>2604</v>
      </c>
      <c r="N36" s="12" t="s">
        <v>2605</v>
      </c>
      <c r="O36" s="12" t="s">
        <v>2616</v>
      </c>
      <c r="P36" s="14" t="s">
        <v>2607</v>
      </c>
      <c r="Q36">
        <v>1</v>
      </c>
      <c r="R36" s="20"/>
    </row>
    <row r="37" spans="1:18" ht="20.100000000000001" customHeight="1">
      <c r="A37" s="7">
        <v>32</v>
      </c>
      <c r="B37" s="8">
        <v>3204321004</v>
      </c>
      <c r="C37" s="9" t="s">
        <v>349</v>
      </c>
      <c r="D37" s="10" t="s">
        <v>22</v>
      </c>
      <c r="E37" s="11" t="s">
        <v>350</v>
      </c>
      <c r="F37" s="11" t="s">
        <v>351</v>
      </c>
      <c r="G37" s="9" t="s">
        <v>352</v>
      </c>
      <c r="H37" s="9" t="s">
        <v>338</v>
      </c>
      <c r="I37" s="9" t="s">
        <v>339</v>
      </c>
      <c r="J37" s="9" t="s">
        <v>100</v>
      </c>
      <c r="K37" s="12" t="s">
        <v>19</v>
      </c>
      <c r="L37" s="13" t="s">
        <v>20</v>
      </c>
      <c r="M37" s="12" t="s">
        <v>2604</v>
      </c>
      <c r="N37" s="12" t="s">
        <v>2605</v>
      </c>
      <c r="O37" s="12" t="s">
        <v>2611</v>
      </c>
      <c r="P37" s="14" t="s">
        <v>2607</v>
      </c>
      <c r="Q37">
        <v>1</v>
      </c>
      <c r="R37" s="20"/>
    </row>
    <row r="38" spans="1:18" ht="20.100000000000001" customHeight="1">
      <c r="A38" s="7">
        <v>33</v>
      </c>
      <c r="B38" s="8">
        <v>3204321004</v>
      </c>
      <c r="C38" s="9" t="s">
        <v>353</v>
      </c>
      <c r="D38" s="10" t="s">
        <v>22</v>
      </c>
      <c r="E38" s="11" t="s">
        <v>354</v>
      </c>
      <c r="F38" s="11" t="s">
        <v>355</v>
      </c>
      <c r="G38" s="9" t="s">
        <v>356</v>
      </c>
      <c r="H38" s="9" t="s">
        <v>338</v>
      </c>
      <c r="I38" s="9" t="s">
        <v>339</v>
      </c>
      <c r="J38" s="9" t="s">
        <v>100</v>
      </c>
      <c r="K38" s="12" t="s">
        <v>19</v>
      </c>
      <c r="L38" s="13" t="s">
        <v>20</v>
      </c>
      <c r="M38" s="12" t="s">
        <v>2604</v>
      </c>
      <c r="N38" s="12" t="s">
        <v>2605</v>
      </c>
      <c r="O38" s="12" t="s">
        <v>2606</v>
      </c>
      <c r="P38" s="14" t="s">
        <v>2607</v>
      </c>
      <c r="Q38">
        <v>1</v>
      </c>
      <c r="R38" s="20"/>
    </row>
    <row r="39" spans="1:18" ht="20.100000000000001" customHeight="1">
      <c r="A39" s="7">
        <v>34</v>
      </c>
      <c r="B39" s="8">
        <v>3204321004</v>
      </c>
      <c r="C39" s="9" t="s">
        <v>228</v>
      </c>
      <c r="D39" s="10" t="s">
        <v>22</v>
      </c>
      <c r="E39" s="11" t="s">
        <v>357</v>
      </c>
      <c r="F39" s="11" t="s">
        <v>358</v>
      </c>
      <c r="G39" s="9" t="s">
        <v>359</v>
      </c>
      <c r="H39" s="9" t="s">
        <v>338</v>
      </c>
      <c r="I39" s="9" t="s">
        <v>339</v>
      </c>
      <c r="J39" s="9" t="s">
        <v>100</v>
      </c>
      <c r="K39" s="12" t="s">
        <v>19</v>
      </c>
      <c r="L39" s="13" t="s">
        <v>20</v>
      </c>
      <c r="M39" s="12" t="s">
        <v>2604</v>
      </c>
      <c r="N39" s="12" t="s">
        <v>2605</v>
      </c>
      <c r="O39" s="12" t="s">
        <v>2611</v>
      </c>
      <c r="P39" s="14" t="s">
        <v>2607</v>
      </c>
      <c r="Q39">
        <v>1</v>
      </c>
      <c r="R39" s="20"/>
    </row>
    <row r="40" spans="1:18" ht="20.100000000000001" customHeight="1">
      <c r="A40" s="7">
        <v>35</v>
      </c>
      <c r="B40" s="8">
        <v>3204321004</v>
      </c>
      <c r="C40" s="9" t="s">
        <v>360</v>
      </c>
      <c r="D40" s="10" t="s">
        <v>22</v>
      </c>
      <c r="E40" s="11" t="s">
        <v>361</v>
      </c>
      <c r="F40" s="11" t="s">
        <v>362</v>
      </c>
      <c r="G40" s="9" t="s">
        <v>363</v>
      </c>
      <c r="H40" s="9" t="s">
        <v>338</v>
      </c>
      <c r="I40" s="9" t="s">
        <v>339</v>
      </c>
      <c r="J40" s="9" t="s">
        <v>100</v>
      </c>
      <c r="K40" s="12" t="s">
        <v>19</v>
      </c>
      <c r="L40" s="13" t="s">
        <v>20</v>
      </c>
      <c r="M40" s="12" t="s">
        <v>2604</v>
      </c>
      <c r="N40" s="12" t="s">
        <v>2605</v>
      </c>
      <c r="O40" s="12" t="s">
        <v>2616</v>
      </c>
      <c r="P40" s="14" t="s">
        <v>2607</v>
      </c>
      <c r="Q40">
        <v>1</v>
      </c>
      <c r="R40" s="20"/>
    </row>
    <row r="41" spans="1:18" ht="20.100000000000001" customHeight="1">
      <c r="A41" s="7">
        <v>36</v>
      </c>
      <c r="B41" s="8">
        <v>3204321004</v>
      </c>
      <c r="C41" s="9" t="s">
        <v>364</v>
      </c>
      <c r="D41" s="10" t="s">
        <v>22</v>
      </c>
      <c r="E41" s="11" t="s">
        <v>365</v>
      </c>
      <c r="F41" s="11" t="s">
        <v>366</v>
      </c>
      <c r="G41" s="9" t="s">
        <v>367</v>
      </c>
      <c r="H41" s="9" t="s">
        <v>338</v>
      </c>
      <c r="I41" s="9" t="s">
        <v>339</v>
      </c>
      <c r="J41" s="9" t="s">
        <v>100</v>
      </c>
      <c r="K41" s="12" t="s">
        <v>19</v>
      </c>
      <c r="L41" s="13" t="s">
        <v>20</v>
      </c>
      <c r="M41" s="12" t="s">
        <v>2604</v>
      </c>
      <c r="N41" s="12" t="s">
        <v>2605</v>
      </c>
      <c r="O41" s="12" t="s">
        <v>2608</v>
      </c>
      <c r="P41" s="14" t="s">
        <v>2607</v>
      </c>
      <c r="Q41">
        <v>1</v>
      </c>
      <c r="R41" s="20"/>
    </row>
    <row r="42" spans="1:18" ht="20.100000000000001" customHeight="1">
      <c r="A42" s="7">
        <v>37</v>
      </c>
      <c r="B42" s="8">
        <v>3204321004</v>
      </c>
      <c r="C42" s="9" t="s">
        <v>368</v>
      </c>
      <c r="D42" s="10" t="s">
        <v>18</v>
      </c>
      <c r="E42" s="11" t="s">
        <v>369</v>
      </c>
      <c r="F42" s="11" t="s">
        <v>370</v>
      </c>
      <c r="G42" s="9" t="s">
        <v>371</v>
      </c>
      <c r="H42" s="9" t="s">
        <v>338</v>
      </c>
      <c r="I42" s="9" t="s">
        <v>339</v>
      </c>
      <c r="J42" s="9" t="s">
        <v>100</v>
      </c>
      <c r="K42" s="12" t="s">
        <v>19</v>
      </c>
      <c r="L42" s="13" t="s">
        <v>20</v>
      </c>
      <c r="M42" s="12" t="s">
        <v>2604</v>
      </c>
      <c r="N42" s="12" t="s">
        <v>2605</v>
      </c>
      <c r="O42" s="12" t="s">
        <v>2616</v>
      </c>
      <c r="P42" s="14" t="s">
        <v>2607</v>
      </c>
      <c r="Q42">
        <v>1</v>
      </c>
      <c r="R42" s="20"/>
    </row>
    <row r="43" spans="1:18" ht="20.100000000000001" customHeight="1">
      <c r="A43" s="7">
        <v>38</v>
      </c>
      <c r="B43" s="8">
        <v>3204321004</v>
      </c>
      <c r="C43" s="9" t="s">
        <v>372</v>
      </c>
      <c r="D43" s="10" t="s">
        <v>22</v>
      </c>
      <c r="E43" s="11" t="s">
        <v>373</v>
      </c>
      <c r="F43" s="11" t="s">
        <v>374</v>
      </c>
      <c r="G43" s="9" t="s">
        <v>375</v>
      </c>
      <c r="H43" s="9" t="s">
        <v>338</v>
      </c>
      <c r="I43" s="9" t="s">
        <v>339</v>
      </c>
      <c r="J43" s="9" t="s">
        <v>100</v>
      </c>
      <c r="K43" s="12" t="s">
        <v>19</v>
      </c>
      <c r="L43" s="13" t="s">
        <v>20</v>
      </c>
      <c r="M43" s="12" t="s">
        <v>2604</v>
      </c>
      <c r="N43" s="12" t="s">
        <v>2605</v>
      </c>
      <c r="O43" s="12" t="s">
        <v>2618</v>
      </c>
      <c r="P43" s="14" t="s">
        <v>2610</v>
      </c>
      <c r="Q43">
        <v>1</v>
      </c>
      <c r="R43" s="20"/>
    </row>
    <row r="44" spans="1:18" ht="20.100000000000001" customHeight="1">
      <c r="A44" s="7">
        <v>39</v>
      </c>
      <c r="B44" s="8">
        <v>3204321004</v>
      </c>
      <c r="C44" s="9" t="s">
        <v>376</v>
      </c>
      <c r="D44" s="10" t="s">
        <v>22</v>
      </c>
      <c r="E44" s="11" t="s">
        <v>377</v>
      </c>
      <c r="F44" s="11" t="s">
        <v>378</v>
      </c>
      <c r="G44" s="9" t="s">
        <v>379</v>
      </c>
      <c r="H44" s="9" t="s">
        <v>338</v>
      </c>
      <c r="I44" s="9" t="s">
        <v>339</v>
      </c>
      <c r="J44" s="9" t="s">
        <v>100</v>
      </c>
      <c r="K44" s="12" t="s">
        <v>19</v>
      </c>
      <c r="L44" s="13" t="s">
        <v>20</v>
      </c>
      <c r="M44" s="12" t="s">
        <v>2604</v>
      </c>
      <c r="N44" s="12" t="s">
        <v>2605</v>
      </c>
      <c r="O44" s="12" t="s">
        <v>2622</v>
      </c>
      <c r="P44" s="14" t="s">
        <v>2607</v>
      </c>
      <c r="Q44">
        <v>1</v>
      </c>
      <c r="R44" s="20"/>
    </row>
    <row r="45" spans="1:18" ht="20.100000000000001" customHeight="1">
      <c r="A45" s="7">
        <v>40</v>
      </c>
      <c r="B45" s="8">
        <v>3204321004</v>
      </c>
      <c r="C45" s="9" t="s">
        <v>380</v>
      </c>
      <c r="D45" s="10" t="s">
        <v>22</v>
      </c>
      <c r="E45" s="11" t="s">
        <v>381</v>
      </c>
      <c r="F45" s="11" t="s">
        <v>382</v>
      </c>
      <c r="G45" s="9" t="s">
        <v>383</v>
      </c>
      <c r="H45" s="9" t="s">
        <v>338</v>
      </c>
      <c r="I45" s="9" t="s">
        <v>339</v>
      </c>
      <c r="J45" s="9" t="s">
        <v>100</v>
      </c>
      <c r="K45" s="12" t="s">
        <v>19</v>
      </c>
      <c r="L45" s="13" t="s">
        <v>20</v>
      </c>
      <c r="M45" s="12" t="s">
        <v>2604</v>
      </c>
      <c r="N45" s="12" t="s">
        <v>2605</v>
      </c>
      <c r="O45" s="12" t="s">
        <v>2609</v>
      </c>
      <c r="P45" s="14" t="s">
        <v>2610</v>
      </c>
      <c r="Q45">
        <v>1</v>
      </c>
      <c r="R45" s="20"/>
    </row>
    <row r="46" spans="1:18" ht="20.100000000000001" customHeight="1">
      <c r="A46" s="7">
        <v>41</v>
      </c>
      <c r="B46" s="8">
        <v>3204321004</v>
      </c>
      <c r="C46" s="9" t="s">
        <v>384</v>
      </c>
      <c r="D46" s="10" t="s">
        <v>22</v>
      </c>
      <c r="E46" s="11" t="s">
        <v>385</v>
      </c>
      <c r="F46" s="11" t="s">
        <v>386</v>
      </c>
      <c r="G46" s="9" t="s">
        <v>387</v>
      </c>
      <c r="H46" s="9" t="s">
        <v>338</v>
      </c>
      <c r="I46" s="9" t="s">
        <v>339</v>
      </c>
      <c r="J46" s="9" t="s">
        <v>100</v>
      </c>
      <c r="K46" s="12" t="s">
        <v>19</v>
      </c>
      <c r="L46" s="13" t="s">
        <v>20</v>
      </c>
      <c r="M46" s="12" t="s">
        <v>2604</v>
      </c>
      <c r="N46" s="12" t="s">
        <v>2605</v>
      </c>
      <c r="O46" s="12" t="s">
        <v>2618</v>
      </c>
      <c r="P46" s="14" t="s">
        <v>2610</v>
      </c>
      <c r="Q46">
        <v>1</v>
      </c>
      <c r="R46" s="20"/>
    </row>
    <row r="47" spans="1:18" ht="20.100000000000001" customHeight="1">
      <c r="A47" s="7">
        <v>42</v>
      </c>
      <c r="B47" s="8">
        <v>3204321008</v>
      </c>
      <c r="C47" s="9" t="s">
        <v>388</v>
      </c>
      <c r="D47" s="10" t="s">
        <v>18</v>
      </c>
      <c r="E47" s="11" t="s">
        <v>389</v>
      </c>
      <c r="F47" s="11" t="s">
        <v>390</v>
      </c>
      <c r="G47" s="9" t="s">
        <v>391</v>
      </c>
      <c r="H47" s="9" t="s">
        <v>392</v>
      </c>
      <c r="I47" s="9" t="s">
        <v>339</v>
      </c>
      <c r="J47" s="9" t="s">
        <v>100</v>
      </c>
      <c r="K47" s="12" t="s">
        <v>19</v>
      </c>
      <c r="L47" s="13" t="s">
        <v>20</v>
      </c>
      <c r="M47" s="12" t="s">
        <v>2604</v>
      </c>
      <c r="N47" s="12" t="s">
        <v>2605</v>
      </c>
      <c r="O47" s="12" t="s">
        <v>2608</v>
      </c>
      <c r="P47" s="14" t="s">
        <v>2607</v>
      </c>
      <c r="Q47">
        <v>1</v>
      </c>
      <c r="R47" s="20">
        <f>SUM(Q47:Q61)</f>
        <v>15</v>
      </c>
    </row>
    <row r="48" spans="1:18" ht="20.100000000000001" customHeight="1">
      <c r="A48" s="7">
        <v>43</v>
      </c>
      <c r="B48" s="8">
        <v>3204321008</v>
      </c>
      <c r="C48" s="9" t="s">
        <v>393</v>
      </c>
      <c r="D48" s="10" t="s">
        <v>18</v>
      </c>
      <c r="E48" s="11" t="s">
        <v>394</v>
      </c>
      <c r="F48" s="11" t="s">
        <v>395</v>
      </c>
      <c r="G48" s="9" t="s">
        <v>396</v>
      </c>
      <c r="H48" s="9" t="s">
        <v>392</v>
      </c>
      <c r="I48" s="9" t="s">
        <v>339</v>
      </c>
      <c r="J48" s="9" t="s">
        <v>100</v>
      </c>
      <c r="K48" s="12" t="s">
        <v>19</v>
      </c>
      <c r="L48" s="13" t="s">
        <v>20</v>
      </c>
      <c r="M48" s="12" t="s">
        <v>2604</v>
      </c>
      <c r="N48" s="12" t="s">
        <v>2605</v>
      </c>
      <c r="O48" s="12" t="s">
        <v>2614</v>
      </c>
      <c r="P48" s="14" t="s">
        <v>2615</v>
      </c>
      <c r="Q48">
        <v>1</v>
      </c>
      <c r="R48" s="20"/>
    </row>
    <row r="49" spans="1:18" ht="20.100000000000001" customHeight="1">
      <c r="A49" s="7">
        <v>44</v>
      </c>
      <c r="B49" s="8">
        <v>3204321008</v>
      </c>
      <c r="C49" s="9" t="s">
        <v>397</v>
      </c>
      <c r="D49" s="10" t="s">
        <v>22</v>
      </c>
      <c r="E49" s="11" t="s">
        <v>398</v>
      </c>
      <c r="F49" s="11" t="s">
        <v>399</v>
      </c>
      <c r="G49" s="9" t="s">
        <v>400</v>
      </c>
      <c r="H49" s="9" t="s">
        <v>392</v>
      </c>
      <c r="I49" s="9" t="s">
        <v>339</v>
      </c>
      <c r="J49" s="9" t="s">
        <v>100</v>
      </c>
      <c r="K49" s="12" t="s">
        <v>19</v>
      </c>
      <c r="L49" s="13" t="s">
        <v>20</v>
      </c>
      <c r="M49" s="12" t="s">
        <v>2604</v>
      </c>
      <c r="N49" s="12" t="s">
        <v>2605</v>
      </c>
      <c r="O49" s="12" t="s">
        <v>2606</v>
      </c>
      <c r="P49" s="14" t="s">
        <v>2607</v>
      </c>
      <c r="Q49">
        <v>1</v>
      </c>
      <c r="R49" s="20"/>
    </row>
    <row r="50" spans="1:18" ht="20.100000000000001" customHeight="1">
      <c r="A50" s="7">
        <v>45</v>
      </c>
      <c r="B50" s="8">
        <v>3204321008</v>
      </c>
      <c r="C50" s="9" t="s">
        <v>401</v>
      </c>
      <c r="D50" s="10" t="s">
        <v>22</v>
      </c>
      <c r="E50" s="11" t="s">
        <v>402</v>
      </c>
      <c r="F50" s="11" t="s">
        <v>403</v>
      </c>
      <c r="G50" s="9" t="s">
        <v>404</v>
      </c>
      <c r="H50" s="9" t="s">
        <v>392</v>
      </c>
      <c r="I50" s="9" t="s">
        <v>339</v>
      </c>
      <c r="J50" s="9" t="s">
        <v>100</v>
      </c>
      <c r="K50" s="12" t="s">
        <v>19</v>
      </c>
      <c r="L50" s="13" t="s">
        <v>20</v>
      </c>
      <c r="M50" s="12" t="s">
        <v>2604</v>
      </c>
      <c r="N50" s="12" t="s">
        <v>2605</v>
      </c>
      <c r="O50" s="12" t="s">
        <v>2619</v>
      </c>
      <c r="P50" s="14" t="s">
        <v>2610</v>
      </c>
      <c r="Q50">
        <v>1</v>
      </c>
      <c r="R50" s="20"/>
    </row>
    <row r="51" spans="1:18" ht="20.100000000000001" customHeight="1">
      <c r="A51" s="7">
        <v>46</v>
      </c>
      <c r="B51" s="8">
        <v>3204321008</v>
      </c>
      <c r="C51" s="9" t="s">
        <v>135</v>
      </c>
      <c r="D51" s="10" t="s">
        <v>22</v>
      </c>
      <c r="E51" s="11" t="s">
        <v>405</v>
      </c>
      <c r="F51" s="11" t="s">
        <v>406</v>
      </c>
      <c r="G51" s="9" t="s">
        <v>407</v>
      </c>
      <c r="H51" s="9" t="s">
        <v>392</v>
      </c>
      <c r="I51" s="9" t="s">
        <v>339</v>
      </c>
      <c r="J51" s="9" t="s">
        <v>100</v>
      </c>
      <c r="K51" s="12" t="s">
        <v>19</v>
      </c>
      <c r="L51" s="13" t="s">
        <v>20</v>
      </c>
      <c r="M51" s="12" t="s">
        <v>2604</v>
      </c>
      <c r="N51" s="12" t="s">
        <v>2605</v>
      </c>
      <c r="O51" s="12" t="s">
        <v>2623</v>
      </c>
      <c r="P51" s="14" t="s">
        <v>2615</v>
      </c>
      <c r="Q51">
        <v>1</v>
      </c>
      <c r="R51" s="20"/>
    </row>
    <row r="52" spans="1:18" ht="20.100000000000001" customHeight="1">
      <c r="A52" s="7">
        <v>47</v>
      </c>
      <c r="B52" s="8">
        <v>3204321008</v>
      </c>
      <c r="C52" s="9" t="s">
        <v>408</v>
      </c>
      <c r="D52" s="10" t="s">
        <v>18</v>
      </c>
      <c r="E52" s="11" t="s">
        <v>409</v>
      </c>
      <c r="F52" s="11" t="s">
        <v>410</v>
      </c>
      <c r="G52" s="9" t="s">
        <v>411</v>
      </c>
      <c r="H52" s="9" t="s">
        <v>392</v>
      </c>
      <c r="I52" s="9" t="s">
        <v>339</v>
      </c>
      <c r="J52" s="9" t="s">
        <v>100</v>
      </c>
      <c r="K52" s="12" t="s">
        <v>19</v>
      </c>
      <c r="L52" s="13" t="s">
        <v>20</v>
      </c>
      <c r="M52" s="12" t="s">
        <v>2604</v>
      </c>
      <c r="N52" s="12" t="s">
        <v>2605</v>
      </c>
      <c r="O52" s="12" t="s">
        <v>2618</v>
      </c>
      <c r="P52" s="14" t="s">
        <v>2610</v>
      </c>
      <c r="Q52">
        <v>1</v>
      </c>
      <c r="R52" s="20"/>
    </row>
    <row r="53" spans="1:18" ht="20.100000000000001" customHeight="1">
      <c r="A53" s="7">
        <v>48</v>
      </c>
      <c r="B53" s="8">
        <v>3204321008</v>
      </c>
      <c r="C53" s="9" t="s">
        <v>168</v>
      </c>
      <c r="D53" s="10" t="s">
        <v>18</v>
      </c>
      <c r="E53" s="11" t="s">
        <v>412</v>
      </c>
      <c r="F53" s="11" t="s">
        <v>413</v>
      </c>
      <c r="G53" s="9" t="s">
        <v>414</v>
      </c>
      <c r="H53" s="9" t="s">
        <v>392</v>
      </c>
      <c r="I53" s="9" t="s">
        <v>339</v>
      </c>
      <c r="J53" s="9" t="s">
        <v>100</v>
      </c>
      <c r="K53" s="12" t="s">
        <v>19</v>
      </c>
      <c r="L53" s="13" t="s">
        <v>20</v>
      </c>
      <c r="M53" s="12" t="s">
        <v>2604</v>
      </c>
      <c r="N53" s="12" t="s">
        <v>2605</v>
      </c>
      <c r="O53" s="12" t="s">
        <v>2611</v>
      </c>
      <c r="P53" s="14" t="s">
        <v>2607</v>
      </c>
      <c r="Q53">
        <v>1</v>
      </c>
      <c r="R53" s="20"/>
    </row>
    <row r="54" spans="1:18" ht="20.100000000000001" customHeight="1">
      <c r="A54" s="7">
        <v>49</v>
      </c>
      <c r="B54" s="8">
        <v>3204321008</v>
      </c>
      <c r="C54" s="9" t="s">
        <v>415</v>
      </c>
      <c r="D54" s="10" t="s">
        <v>22</v>
      </c>
      <c r="E54" s="11" t="s">
        <v>416</v>
      </c>
      <c r="F54" s="11" t="s">
        <v>417</v>
      </c>
      <c r="G54" s="9" t="s">
        <v>418</v>
      </c>
      <c r="H54" s="9" t="s">
        <v>392</v>
      </c>
      <c r="I54" s="9" t="s">
        <v>339</v>
      </c>
      <c r="J54" s="9" t="s">
        <v>100</v>
      </c>
      <c r="K54" s="12" t="s">
        <v>19</v>
      </c>
      <c r="L54" s="13" t="s">
        <v>20</v>
      </c>
      <c r="M54" s="12" t="s">
        <v>2604</v>
      </c>
      <c r="N54" s="12" t="s">
        <v>2605</v>
      </c>
      <c r="O54" s="12" t="s">
        <v>195</v>
      </c>
      <c r="P54" s="14" t="s">
        <v>2621</v>
      </c>
      <c r="Q54">
        <v>1</v>
      </c>
      <c r="R54" s="20"/>
    </row>
    <row r="55" spans="1:18" ht="20.100000000000001" customHeight="1">
      <c r="A55" s="7">
        <v>50</v>
      </c>
      <c r="B55" s="8">
        <v>3204321008</v>
      </c>
      <c r="C55" s="9" t="s">
        <v>419</v>
      </c>
      <c r="D55" s="10" t="s">
        <v>22</v>
      </c>
      <c r="E55" s="11" t="s">
        <v>420</v>
      </c>
      <c r="F55" s="11" t="s">
        <v>421</v>
      </c>
      <c r="G55" s="9" t="s">
        <v>422</v>
      </c>
      <c r="H55" s="9" t="s">
        <v>392</v>
      </c>
      <c r="I55" s="9" t="s">
        <v>339</v>
      </c>
      <c r="J55" s="9" t="s">
        <v>100</v>
      </c>
      <c r="K55" s="12" t="s">
        <v>19</v>
      </c>
      <c r="L55" s="13" t="s">
        <v>20</v>
      </c>
      <c r="M55" s="12" t="s">
        <v>2604</v>
      </c>
      <c r="N55" s="12" t="s">
        <v>2605</v>
      </c>
      <c r="O55" s="12" t="s">
        <v>2606</v>
      </c>
      <c r="P55" s="14" t="s">
        <v>2607</v>
      </c>
      <c r="Q55">
        <v>1</v>
      </c>
      <c r="R55" s="20"/>
    </row>
    <row r="56" spans="1:18" ht="20.100000000000001" customHeight="1">
      <c r="A56" s="7">
        <v>51</v>
      </c>
      <c r="B56" s="8">
        <v>3204321008</v>
      </c>
      <c r="C56" s="9" t="s">
        <v>423</v>
      </c>
      <c r="D56" s="10" t="s">
        <v>22</v>
      </c>
      <c r="E56" s="11" t="s">
        <v>424</v>
      </c>
      <c r="F56" s="11" t="s">
        <v>425</v>
      </c>
      <c r="G56" s="9" t="s">
        <v>426</v>
      </c>
      <c r="H56" s="9" t="s">
        <v>392</v>
      </c>
      <c r="I56" s="9" t="s">
        <v>339</v>
      </c>
      <c r="J56" s="9" t="s">
        <v>100</v>
      </c>
      <c r="K56" s="12" t="s">
        <v>19</v>
      </c>
      <c r="L56" s="13" t="s">
        <v>20</v>
      </c>
      <c r="M56" s="12" t="s">
        <v>2604</v>
      </c>
      <c r="N56" s="12" t="s">
        <v>2605</v>
      </c>
      <c r="O56" s="12" t="s">
        <v>2609</v>
      </c>
      <c r="P56" s="14" t="s">
        <v>2610</v>
      </c>
      <c r="Q56">
        <v>1</v>
      </c>
      <c r="R56" s="20"/>
    </row>
    <row r="57" spans="1:18" ht="20.100000000000001" customHeight="1">
      <c r="A57" s="7">
        <v>52</v>
      </c>
      <c r="B57" s="8">
        <v>3204321008</v>
      </c>
      <c r="C57" s="9" t="s">
        <v>427</v>
      </c>
      <c r="D57" s="10" t="s">
        <v>22</v>
      </c>
      <c r="E57" s="11" t="s">
        <v>428</v>
      </c>
      <c r="F57" s="11" t="s">
        <v>429</v>
      </c>
      <c r="G57" s="9" t="s">
        <v>430</v>
      </c>
      <c r="H57" s="9" t="s">
        <v>392</v>
      </c>
      <c r="I57" s="9" t="s">
        <v>339</v>
      </c>
      <c r="J57" s="9" t="s">
        <v>100</v>
      </c>
      <c r="K57" s="12" t="s">
        <v>19</v>
      </c>
      <c r="L57" s="13" t="s">
        <v>20</v>
      </c>
      <c r="M57" s="12" t="s">
        <v>2604</v>
      </c>
      <c r="N57" s="12" t="s">
        <v>2605</v>
      </c>
      <c r="O57" s="12" t="s">
        <v>2616</v>
      </c>
      <c r="P57" s="14" t="s">
        <v>2607</v>
      </c>
      <c r="Q57">
        <v>1</v>
      </c>
      <c r="R57" s="20"/>
    </row>
    <row r="58" spans="1:18" ht="20.100000000000001" customHeight="1">
      <c r="A58" s="7">
        <v>53</v>
      </c>
      <c r="B58" s="8">
        <v>3204321008</v>
      </c>
      <c r="C58" s="9" t="s">
        <v>160</v>
      </c>
      <c r="D58" s="10" t="s">
        <v>18</v>
      </c>
      <c r="E58" s="11" t="s">
        <v>431</v>
      </c>
      <c r="F58" s="11" t="s">
        <v>432</v>
      </c>
      <c r="G58" s="9" t="s">
        <v>433</v>
      </c>
      <c r="H58" s="9" t="s">
        <v>392</v>
      </c>
      <c r="I58" s="9" t="s">
        <v>339</v>
      </c>
      <c r="J58" s="9" t="s">
        <v>100</v>
      </c>
      <c r="K58" s="12" t="s">
        <v>19</v>
      </c>
      <c r="L58" s="13" t="s">
        <v>20</v>
      </c>
      <c r="M58" s="12" t="s">
        <v>2604</v>
      </c>
      <c r="N58" s="12" t="s">
        <v>2605</v>
      </c>
      <c r="O58" s="12" t="s">
        <v>2608</v>
      </c>
      <c r="P58" s="14" t="s">
        <v>2607</v>
      </c>
      <c r="Q58">
        <v>1</v>
      </c>
      <c r="R58" s="20"/>
    </row>
    <row r="59" spans="1:18" ht="20.100000000000001" customHeight="1">
      <c r="A59" s="7">
        <v>54</v>
      </c>
      <c r="B59" s="8">
        <v>3204321008</v>
      </c>
      <c r="C59" s="9" t="s">
        <v>434</v>
      </c>
      <c r="D59" s="10" t="s">
        <v>22</v>
      </c>
      <c r="E59" s="11" t="s">
        <v>435</v>
      </c>
      <c r="F59" s="11" t="s">
        <v>436</v>
      </c>
      <c r="G59" s="9" t="s">
        <v>437</v>
      </c>
      <c r="H59" s="9" t="s">
        <v>392</v>
      </c>
      <c r="I59" s="9" t="s">
        <v>339</v>
      </c>
      <c r="J59" s="9" t="s">
        <v>100</v>
      </c>
      <c r="K59" s="12" t="s">
        <v>19</v>
      </c>
      <c r="L59" s="13" t="s">
        <v>20</v>
      </c>
      <c r="M59" s="12" t="s">
        <v>2604</v>
      </c>
      <c r="N59" s="12" t="s">
        <v>2605</v>
      </c>
      <c r="O59" s="12" t="s">
        <v>2619</v>
      </c>
      <c r="P59" s="14" t="s">
        <v>2610</v>
      </c>
      <c r="Q59">
        <v>1</v>
      </c>
      <c r="R59" s="20"/>
    </row>
    <row r="60" spans="1:18" ht="20.100000000000001" customHeight="1">
      <c r="A60" s="7">
        <v>55</v>
      </c>
      <c r="B60" s="8">
        <v>3204321008</v>
      </c>
      <c r="C60" s="9" t="s">
        <v>438</v>
      </c>
      <c r="D60" s="10" t="s">
        <v>22</v>
      </c>
      <c r="E60" s="11" t="s">
        <v>439</v>
      </c>
      <c r="F60" s="11" t="s">
        <v>440</v>
      </c>
      <c r="G60" s="9" t="s">
        <v>441</v>
      </c>
      <c r="H60" s="9" t="s">
        <v>392</v>
      </c>
      <c r="I60" s="9" t="s">
        <v>339</v>
      </c>
      <c r="J60" s="9" t="s">
        <v>100</v>
      </c>
      <c r="K60" s="12" t="s">
        <v>19</v>
      </c>
      <c r="L60" s="13" t="s">
        <v>20</v>
      </c>
      <c r="M60" s="12" t="s">
        <v>2604</v>
      </c>
      <c r="N60" s="12" t="s">
        <v>2605</v>
      </c>
      <c r="O60" s="12" t="s">
        <v>195</v>
      </c>
      <c r="P60" s="14" t="s">
        <v>2621</v>
      </c>
      <c r="Q60">
        <v>1</v>
      </c>
      <c r="R60" s="20"/>
    </row>
    <row r="61" spans="1:18" ht="20.100000000000001" customHeight="1">
      <c r="A61" s="7">
        <v>56</v>
      </c>
      <c r="B61" s="8">
        <v>3204321008</v>
      </c>
      <c r="C61" s="9" t="s">
        <v>442</v>
      </c>
      <c r="D61" s="10" t="s">
        <v>22</v>
      </c>
      <c r="E61" s="11" t="s">
        <v>443</v>
      </c>
      <c r="F61" s="11" t="s">
        <v>444</v>
      </c>
      <c r="G61" s="9" t="s">
        <v>445</v>
      </c>
      <c r="H61" s="9" t="s">
        <v>392</v>
      </c>
      <c r="I61" s="9" t="s">
        <v>339</v>
      </c>
      <c r="J61" s="9" t="s">
        <v>100</v>
      </c>
      <c r="K61" s="12" t="s">
        <v>19</v>
      </c>
      <c r="L61" s="13" t="s">
        <v>20</v>
      </c>
      <c r="M61" s="12" t="s">
        <v>2604</v>
      </c>
      <c r="N61" s="12" t="s">
        <v>2605</v>
      </c>
      <c r="O61" s="12" t="s">
        <v>2608</v>
      </c>
      <c r="P61" s="14" t="s">
        <v>2607</v>
      </c>
      <c r="Q61">
        <v>1</v>
      </c>
      <c r="R61" s="20"/>
    </row>
    <row r="62" spans="1:18" ht="20.100000000000001" customHeight="1">
      <c r="A62" s="7">
        <v>57</v>
      </c>
      <c r="B62" s="8">
        <v>3204132018</v>
      </c>
      <c r="C62" s="9" t="s">
        <v>215</v>
      </c>
      <c r="D62" s="10" t="s">
        <v>18</v>
      </c>
      <c r="E62" s="11" t="s">
        <v>446</v>
      </c>
      <c r="F62" s="11" t="s">
        <v>447</v>
      </c>
      <c r="G62" s="9" t="s">
        <v>448</v>
      </c>
      <c r="H62" s="9" t="s">
        <v>449</v>
      </c>
      <c r="I62" s="9" t="s">
        <v>450</v>
      </c>
      <c r="J62" s="9" t="s">
        <v>100</v>
      </c>
      <c r="K62" s="12" t="s">
        <v>19</v>
      </c>
      <c r="L62" s="13" t="s">
        <v>20</v>
      </c>
      <c r="M62" s="12" t="s">
        <v>2604</v>
      </c>
      <c r="N62" s="12" t="s">
        <v>2605</v>
      </c>
      <c r="O62" s="12" t="s">
        <v>2619</v>
      </c>
      <c r="P62" s="14" t="s">
        <v>2610</v>
      </c>
      <c r="Q62">
        <v>1</v>
      </c>
      <c r="R62" s="20">
        <f>SUM(Q62:Q76)</f>
        <v>15</v>
      </c>
    </row>
    <row r="63" spans="1:18" ht="20.100000000000001" customHeight="1">
      <c r="A63" s="7">
        <v>58</v>
      </c>
      <c r="B63" s="8">
        <v>3204132018</v>
      </c>
      <c r="C63" s="9" t="s">
        <v>451</v>
      </c>
      <c r="D63" s="10" t="s">
        <v>18</v>
      </c>
      <c r="E63" s="11" t="s">
        <v>452</v>
      </c>
      <c r="F63" s="11" t="s">
        <v>453</v>
      </c>
      <c r="G63" s="9" t="s">
        <v>454</v>
      </c>
      <c r="H63" s="9" t="s">
        <v>449</v>
      </c>
      <c r="I63" s="9" t="s">
        <v>450</v>
      </c>
      <c r="J63" s="9" t="s">
        <v>100</v>
      </c>
      <c r="K63" s="12" t="s">
        <v>19</v>
      </c>
      <c r="L63" s="13" t="s">
        <v>20</v>
      </c>
      <c r="M63" s="12" t="s">
        <v>2604</v>
      </c>
      <c r="N63" s="12" t="s">
        <v>2605</v>
      </c>
      <c r="O63" s="12" t="s">
        <v>2609</v>
      </c>
      <c r="P63" s="14" t="s">
        <v>2610</v>
      </c>
      <c r="Q63">
        <v>1</v>
      </c>
      <c r="R63" s="20"/>
    </row>
    <row r="64" spans="1:18" ht="20.100000000000001" customHeight="1">
      <c r="A64" s="7">
        <v>59</v>
      </c>
      <c r="B64" s="8">
        <v>3204132018</v>
      </c>
      <c r="C64" s="9" t="s">
        <v>455</v>
      </c>
      <c r="D64" s="10" t="s">
        <v>22</v>
      </c>
      <c r="E64" s="11" t="s">
        <v>456</v>
      </c>
      <c r="F64" s="11" t="s">
        <v>457</v>
      </c>
      <c r="G64" s="9" t="s">
        <v>458</v>
      </c>
      <c r="H64" s="9" t="s">
        <v>449</v>
      </c>
      <c r="I64" s="9" t="s">
        <v>450</v>
      </c>
      <c r="J64" s="9" t="s">
        <v>100</v>
      </c>
      <c r="K64" s="12" t="s">
        <v>19</v>
      </c>
      <c r="L64" s="13" t="s">
        <v>20</v>
      </c>
      <c r="M64" s="12" t="s">
        <v>2604</v>
      </c>
      <c r="N64" s="12" t="s">
        <v>2605</v>
      </c>
      <c r="O64" s="12" t="s">
        <v>2620</v>
      </c>
      <c r="P64" s="14" t="s">
        <v>2615</v>
      </c>
      <c r="Q64">
        <v>1</v>
      </c>
      <c r="R64" s="20"/>
    </row>
    <row r="65" spans="1:18" ht="20.100000000000001" customHeight="1">
      <c r="A65" s="7">
        <v>60</v>
      </c>
      <c r="B65" s="8">
        <v>3204132018</v>
      </c>
      <c r="C65" s="9" t="s">
        <v>48</v>
      </c>
      <c r="D65" s="10" t="s">
        <v>18</v>
      </c>
      <c r="E65" s="11" t="s">
        <v>459</v>
      </c>
      <c r="F65" s="11" t="s">
        <v>460</v>
      </c>
      <c r="G65" s="9" t="s">
        <v>461</v>
      </c>
      <c r="H65" s="9" t="s">
        <v>449</v>
      </c>
      <c r="I65" s="9" t="s">
        <v>450</v>
      </c>
      <c r="J65" s="9" t="s">
        <v>100</v>
      </c>
      <c r="K65" s="12" t="s">
        <v>19</v>
      </c>
      <c r="L65" s="13" t="s">
        <v>20</v>
      </c>
      <c r="M65" s="12" t="s">
        <v>2604</v>
      </c>
      <c r="N65" s="12" t="s">
        <v>2605</v>
      </c>
      <c r="O65" s="12" t="s">
        <v>2611</v>
      </c>
      <c r="P65" s="14" t="s">
        <v>2607</v>
      </c>
      <c r="Q65">
        <v>1</v>
      </c>
      <c r="R65" s="20"/>
    </row>
    <row r="66" spans="1:18" ht="20.100000000000001" customHeight="1">
      <c r="A66" s="7">
        <v>61</v>
      </c>
      <c r="B66" s="8">
        <v>3204132018</v>
      </c>
      <c r="C66" s="9" t="s">
        <v>462</v>
      </c>
      <c r="D66" s="10" t="s">
        <v>22</v>
      </c>
      <c r="E66" s="11" t="s">
        <v>463</v>
      </c>
      <c r="F66" s="11" t="s">
        <v>464</v>
      </c>
      <c r="G66" s="9" t="s">
        <v>465</v>
      </c>
      <c r="H66" s="9" t="s">
        <v>449</v>
      </c>
      <c r="I66" s="9" t="s">
        <v>450</v>
      </c>
      <c r="J66" s="9" t="s">
        <v>100</v>
      </c>
      <c r="K66" s="12" t="s">
        <v>19</v>
      </c>
      <c r="L66" s="13" t="s">
        <v>20</v>
      </c>
      <c r="M66" s="12" t="s">
        <v>2604</v>
      </c>
      <c r="N66" s="12" t="s">
        <v>2605</v>
      </c>
      <c r="O66" s="12" t="s">
        <v>2624</v>
      </c>
      <c r="P66" s="14" t="s">
        <v>2615</v>
      </c>
      <c r="Q66">
        <v>1</v>
      </c>
      <c r="R66" s="20"/>
    </row>
    <row r="67" spans="1:18" ht="20.100000000000001" customHeight="1">
      <c r="A67" s="7">
        <v>62</v>
      </c>
      <c r="B67" s="8">
        <v>3204132018</v>
      </c>
      <c r="C67" s="9" t="s">
        <v>111</v>
      </c>
      <c r="D67" s="10" t="s">
        <v>22</v>
      </c>
      <c r="E67" s="11" t="s">
        <v>466</v>
      </c>
      <c r="F67" s="11" t="s">
        <v>467</v>
      </c>
      <c r="G67" s="9" t="s">
        <v>468</v>
      </c>
      <c r="H67" s="9" t="s">
        <v>449</v>
      </c>
      <c r="I67" s="9" t="s">
        <v>450</v>
      </c>
      <c r="J67" s="9" t="s">
        <v>100</v>
      </c>
      <c r="K67" s="12" t="s">
        <v>19</v>
      </c>
      <c r="L67" s="13" t="s">
        <v>20</v>
      </c>
      <c r="M67" s="12" t="s">
        <v>2604</v>
      </c>
      <c r="N67" s="12" t="s">
        <v>2605</v>
      </c>
      <c r="O67" s="12" t="s">
        <v>2622</v>
      </c>
      <c r="P67" s="14" t="s">
        <v>2607</v>
      </c>
      <c r="Q67">
        <v>1</v>
      </c>
      <c r="R67" s="20"/>
    </row>
    <row r="68" spans="1:18" ht="20.100000000000001" customHeight="1">
      <c r="A68" s="7">
        <v>63</v>
      </c>
      <c r="B68" s="8">
        <v>3204132018</v>
      </c>
      <c r="C68" s="9" t="s">
        <v>469</v>
      </c>
      <c r="D68" s="10" t="s">
        <v>22</v>
      </c>
      <c r="E68" s="11" t="s">
        <v>470</v>
      </c>
      <c r="F68" s="11" t="s">
        <v>471</v>
      </c>
      <c r="G68" s="9" t="s">
        <v>472</v>
      </c>
      <c r="H68" s="9" t="s">
        <v>449</v>
      </c>
      <c r="I68" s="9" t="s">
        <v>450</v>
      </c>
      <c r="J68" s="9" t="s">
        <v>100</v>
      </c>
      <c r="K68" s="12" t="s">
        <v>19</v>
      </c>
      <c r="L68" s="13" t="s">
        <v>20</v>
      </c>
      <c r="M68" s="12" t="s">
        <v>2604</v>
      </c>
      <c r="N68" s="12" t="s">
        <v>2605</v>
      </c>
      <c r="O68" s="12" t="s">
        <v>2611</v>
      </c>
      <c r="P68" s="14" t="s">
        <v>2607</v>
      </c>
      <c r="Q68">
        <v>1</v>
      </c>
      <c r="R68" s="20"/>
    </row>
    <row r="69" spans="1:18" ht="20.100000000000001" customHeight="1">
      <c r="A69" s="7">
        <v>64</v>
      </c>
      <c r="B69" s="8">
        <v>3204132018</v>
      </c>
      <c r="C69" s="9" t="s">
        <v>162</v>
      </c>
      <c r="D69" s="10" t="s">
        <v>22</v>
      </c>
      <c r="E69" s="11" t="s">
        <v>473</v>
      </c>
      <c r="F69" s="11" t="s">
        <v>474</v>
      </c>
      <c r="G69" s="9" t="s">
        <v>475</v>
      </c>
      <c r="H69" s="9" t="s">
        <v>449</v>
      </c>
      <c r="I69" s="9" t="s">
        <v>450</v>
      </c>
      <c r="J69" s="9" t="s">
        <v>100</v>
      </c>
      <c r="K69" s="12" t="s">
        <v>19</v>
      </c>
      <c r="L69" s="13" t="s">
        <v>20</v>
      </c>
      <c r="M69" s="12" t="s">
        <v>2604</v>
      </c>
      <c r="N69" s="12" t="s">
        <v>2605</v>
      </c>
      <c r="O69" s="12" t="s">
        <v>2625</v>
      </c>
      <c r="P69" s="14" t="s">
        <v>2610</v>
      </c>
      <c r="Q69">
        <v>1</v>
      </c>
      <c r="R69" s="20"/>
    </row>
    <row r="70" spans="1:18" ht="20.100000000000001" customHeight="1">
      <c r="A70" s="7">
        <v>65</v>
      </c>
      <c r="B70" s="8">
        <v>3204132018</v>
      </c>
      <c r="C70" s="9" t="s">
        <v>476</v>
      </c>
      <c r="D70" s="10" t="s">
        <v>22</v>
      </c>
      <c r="E70" s="11" t="s">
        <v>477</v>
      </c>
      <c r="F70" s="11" t="s">
        <v>478</v>
      </c>
      <c r="G70" s="9" t="s">
        <v>479</v>
      </c>
      <c r="H70" s="9" t="s">
        <v>449</v>
      </c>
      <c r="I70" s="9" t="s">
        <v>450</v>
      </c>
      <c r="J70" s="9" t="s">
        <v>100</v>
      </c>
      <c r="K70" s="12" t="s">
        <v>19</v>
      </c>
      <c r="L70" s="13" t="s">
        <v>20</v>
      </c>
      <c r="M70" s="12" t="s">
        <v>2604</v>
      </c>
      <c r="N70" s="12" t="s">
        <v>2605</v>
      </c>
      <c r="O70" s="12" t="s">
        <v>2618</v>
      </c>
      <c r="P70" s="14" t="s">
        <v>2610</v>
      </c>
      <c r="Q70">
        <v>1</v>
      </c>
      <c r="R70" s="20"/>
    </row>
    <row r="71" spans="1:18" ht="20.100000000000001" customHeight="1">
      <c r="A71" s="7">
        <v>66</v>
      </c>
      <c r="B71" s="8">
        <v>3204132018</v>
      </c>
      <c r="C71" s="9" t="s">
        <v>203</v>
      </c>
      <c r="D71" s="10" t="s">
        <v>22</v>
      </c>
      <c r="E71" s="11" t="s">
        <v>480</v>
      </c>
      <c r="F71" s="11" t="s">
        <v>481</v>
      </c>
      <c r="G71" s="9" t="s">
        <v>482</v>
      </c>
      <c r="H71" s="9" t="s">
        <v>449</v>
      </c>
      <c r="I71" s="9" t="s">
        <v>450</v>
      </c>
      <c r="J71" s="9" t="s">
        <v>100</v>
      </c>
      <c r="K71" s="12" t="s">
        <v>19</v>
      </c>
      <c r="L71" s="13" t="s">
        <v>20</v>
      </c>
      <c r="M71" s="12" t="s">
        <v>2604</v>
      </c>
      <c r="N71" s="12" t="s">
        <v>2605</v>
      </c>
      <c r="O71" s="12" t="s">
        <v>2606</v>
      </c>
      <c r="P71" s="14" t="s">
        <v>2607</v>
      </c>
      <c r="Q71">
        <v>1</v>
      </c>
      <c r="R71" s="20"/>
    </row>
    <row r="72" spans="1:18" ht="20.100000000000001" customHeight="1">
      <c r="A72" s="7">
        <v>67</v>
      </c>
      <c r="B72" s="8">
        <v>3204132018</v>
      </c>
      <c r="C72" s="9" t="s">
        <v>483</v>
      </c>
      <c r="D72" s="10" t="s">
        <v>18</v>
      </c>
      <c r="E72" s="11" t="s">
        <v>484</v>
      </c>
      <c r="F72" s="11" t="s">
        <v>485</v>
      </c>
      <c r="G72" s="9" t="s">
        <v>486</v>
      </c>
      <c r="H72" s="9" t="s">
        <v>449</v>
      </c>
      <c r="I72" s="9" t="s">
        <v>450</v>
      </c>
      <c r="J72" s="9" t="s">
        <v>100</v>
      </c>
      <c r="K72" s="12" t="s">
        <v>19</v>
      </c>
      <c r="L72" s="13" t="s">
        <v>20</v>
      </c>
      <c r="M72" s="12" t="s">
        <v>2604</v>
      </c>
      <c r="N72" s="12" t="s">
        <v>2605</v>
      </c>
      <c r="O72" s="12" t="s">
        <v>2611</v>
      </c>
      <c r="P72" s="14" t="s">
        <v>2607</v>
      </c>
      <c r="Q72">
        <v>1</v>
      </c>
      <c r="R72" s="20"/>
    </row>
    <row r="73" spans="1:18" ht="20.100000000000001" customHeight="1">
      <c r="A73" s="7">
        <v>68</v>
      </c>
      <c r="B73" s="8">
        <v>3204132018</v>
      </c>
      <c r="C73" s="9" t="s">
        <v>487</v>
      </c>
      <c r="D73" s="10" t="s">
        <v>22</v>
      </c>
      <c r="E73" s="11" t="s">
        <v>488</v>
      </c>
      <c r="F73" s="11" t="s">
        <v>489</v>
      </c>
      <c r="G73" s="9" t="s">
        <v>490</v>
      </c>
      <c r="H73" s="9" t="s">
        <v>449</v>
      </c>
      <c r="I73" s="9" t="s">
        <v>450</v>
      </c>
      <c r="J73" s="9" t="s">
        <v>100</v>
      </c>
      <c r="K73" s="12" t="s">
        <v>19</v>
      </c>
      <c r="L73" s="13" t="s">
        <v>20</v>
      </c>
      <c r="M73" s="12" t="s">
        <v>2604</v>
      </c>
      <c r="N73" s="12" t="s">
        <v>2605</v>
      </c>
      <c r="O73" s="12" t="s">
        <v>2611</v>
      </c>
      <c r="P73" s="14" t="s">
        <v>2607</v>
      </c>
      <c r="Q73">
        <v>1</v>
      </c>
      <c r="R73" s="20"/>
    </row>
    <row r="74" spans="1:18" ht="20.100000000000001" customHeight="1">
      <c r="A74" s="7">
        <v>69</v>
      </c>
      <c r="B74" s="8">
        <v>3204132018</v>
      </c>
      <c r="C74" s="9" t="s">
        <v>123</v>
      </c>
      <c r="D74" s="10" t="s">
        <v>18</v>
      </c>
      <c r="E74" s="11" t="s">
        <v>491</v>
      </c>
      <c r="F74" s="11" t="s">
        <v>492</v>
      </c>
      <c r="G74" s="9" t="s">
        <v>493</v>
      </c>
      <c r="H74" s="9" t="s">
        <v>449</v>
      </c>
      <c r="I74" s="9" t="s">
        <v>450</v>
      </c>
      <c r="J74" s="9" t="s">
        <v>100</v>
      </c>
      <c r="K74" s="12" t="s">
        <v>19</v>
      </c>
      <c r="L74" s="13" t="s">
        <v>20</v>
      </c>
      <c r="M74" s="12" t="s">
        <v>2604</v>
      </c>
      <c r="N74" s="12" t="s">
        <v>2605</v>
      </c>
      <c r="O74" s="12" t="s">
        <v>2606</v>
      </c>
      <c r="P74" s="14" t="s">
        <v>2607</v>
      </c>
      <c r="Q74">
        <v>1</v>
      </c>
      <c r="R74" s="20"/>
    </row>
    <row r="75" spans="1:18" ht="20.100000000000001" customHeight="1">
      <c r="A75" s="7">
        <v>70</v>
      </c>
      <c r="B75" s="8">
        <v>3204132018</v>
      </c>
      <c r="C75" s="9" t="s">
        <v>494</v>
      </c>
      <c r="D75" s="10" t="s">
        <v>22</v>
      </c>
      <c r="E75" s="11" t="s">
        <v>495</v>
      </c>
      <c r="F75" s="11" t="s">
        <v>496</v>
      </c>
      <c r="G75" s="9" t="s">
        <v>497</v>
      </c>
      <c r="H75" s="9" t="s">
        <v>449</v>
      </c>
      <c r="I75" s="9" t="s">
        <v>450</v>
      </c>
      <c r="J75" s="9" t="s">
        <v>100</v>
      </c>
      <c r="K75" s="12" t="s">
        <v>19</v>
      </c>
      <c r="L75" s="13" t="s">
        <v>20</v>
      </c>
      <c r="M75" s="12" t="s">
        <v>2604</v>
      </c>
      <c r="N75" s="12" t="s">
        <v>2605</v>
      </c>
      <c r="O75" s="12" t="s">
        <v>2606</v>
      </c>
      <c r="P75" s="14" t="s">
        <v>2607</v>
      </c>
      <c r="Q75">
        <v>1</v>
      </c>
      <c r="R75" s="20"/>
    </row>
    <row r="76" spans="1:18" ht="20.100000000000001" customHeight="1">
      <c r="A76" s="7">
        <v>71</v>
      </c>
      <c r="B76" s="8">
        <v>3204132018</v>
      </c>
      <c r="C76" s="9" t="s">
        <v>498</v>
      </c>
      <c r="D76" s="10" t="s">
        <v>22</v>
      </c>
      <c r="E76" s="11" t="s">
        <v>499</v>
      </c>
      <c r="F76" s="11" t="s">
        <v>500</v>
      </c>
      <c r="G76" s="9" t="s">
        <v>501</v>
      </c>
      <c r="H76" s="9" t="s">
        <v>449</v>
      </c>
      <c r="I76" s="9" t="s">
        <v>450</v>
      </c>
      <c r="J76" s="9" t="s">
        <v>100</v>
      </c>
      <c r="K76" s="12" t="s">
        <v>19</v>
      </c>
      <c r="L76" s="13" t="s">
        <v>20</v>
      </c>
      <c r="M76" s="12" t="s">
        <v>2604</v>
      </c>
      <c r="N76" s="12" t="s">
        <v>2605</v>
      </c>
      <c r="O76" s="12" t="s">
        <v>2606</v>
      </c>
      <c r="P76" s="14" t="s">
        <v>2607</v>
      </c>
      <c r="Q76">
        <v>1</v>
      </c>
      <c r="R76" s="20"/>
    </row>
    <row r="77" spans="1:18" ht="20.100000000000001" customHeight="1">
      <c r="A77" s="7">
        <v>72</v>
      </c>
      <c r="B77" s="8">
        <v>3204132006</v>
      </c>
      <c r="C77" s="9" t="s">
        <v>65</v>
      </c>
      <c r="D77" s="10" t="s">
        <v>22</v>
      </c>
      <c r="E77" s="11" t="s">
        <v>502</v>
      </c>
      <c r="F77" s="11" t="s">
        <v>503</v>
      </c>
      <c r="G77" s="9" t="s">
        <v>504</v>
      </c>
      <c r="H77" s="9" t="s">
        <v>163</v>
      </c>
      <c r="I77" s="9" t="s">
        <v>450</v>
      </c>
      <c r="J77" s="9" t="s">
        <v>100</v>
      </c>
      <c r="K77" s="12" t="s">
        <v>19</v>
      </c>
      <c r="L77" s="13" t="s">
        <v>20</v>
      </c>
      <c r="M77" s="12" t="s">
        <v>2604</v>
      </c>
      <c r="N77" s="12" t="s">
        <v>2605</v>
      </c>
      <c r="O77" s="12" t="s">
        <v>195</v>
      </c>
      <c r="P77" s="14" t="s">
        <v>2621</v>
      </c>
      <c r="Q77">
        <v>1</v>
      </c>
      <c r="R77" s="20">
        <f>SUM(Q77:Q89)</f>
        <v>13</v>
      </c>
    </row>
    <row r="78" spans="1:18" ht="20.100000000000001" customHeight="1">
      <c r="A78" s="7">
        <v>73</v>
      </c>
      <c r="B78" s="8">
        <v>3204132006</v>
      </c>
      <c r="C78" s="9" t="s">
        <v>505</v>
      </c>
      <c r="D78" s="10" t="s">
        <v>22</v>
      </c>
      <c r="E78" s="11" t="s">
        <v>506</v>
      </c>
      <c r="F78" s="11" t="s">
        <v>507</v>
      </c>
      <c r="G78" s="9" t="s">
        <v>508</v>
      </c>
      <c r="H78" s="9" t="s">
        <v>163</v>
      </c>
      <c r="I78" s="9" t="s">
        <v>450</v>
      </c>
      <c r="J78" s="9" t="s">
        <v>100</v>
      </c>
      <c r="K78" s="12" t="s">
        <v>19</v>
      </c>
      <c r="L78" s="13" t="s">
        <v>20</v>
      </c>
      <c r="M78" s="12" t="s">
        <v>2604</v>
      </c>
      <c r="N78" s="12" t="s">
        <v>2605</v>
      </c>
      <c r="O78" s="12" t="s">
        <v>195</v>
      </c>
      <c r="P78" s="14" t="s">
        <v>2621</v>
      </c>
      <c r="Q78">
        <v>1</v>
      </c>
      <c r="R78" s="20"/>
    </row>
    <row r="79" spans="1:18" ht="20.100000000000001" customHeight="1">
      <c r="A79" s="7">
        <v>74</v>
      </c>
      <c r="B79" s="8">
        <v>3204132006</v>
      </c>
      <c r="C79" s="9" t="s">
        <v>509</v>
      </c>
      <c r="D79" s="10" t="s">
        <v>22</v>
      </c>
      <c r="E79" s="11" t="s">
        <v>510</v>
      </c>
      <c r="F79" s="11" t="s">
        <v>511</v>
      </c>
      <c r="G79" s="9" t="s">
        <v>512</v>
      </c>
      <c r="H79" s="9" t="s">
        <v>163</v>
      </c>
      <c r="I79" s="9" t="s">
        <v>450</v>
      </c>
      <c r="J79" s="9" t="s">
        <v>100</v>
      </c>
      <c r="K79" s="12" t="s">
        <v>19</v>
      </c>
      <c r="L79" s="13" t="s">
        <v>20</v>
      </c>
      <c r="M79" s="12" t="s">
        <v>2604</v>
      </c>
      <c r="N79" s="12" t="s">
        <v>2605</v>
      </c>
      <c r="O79" s="12" t="s">
        <v>2626</v>
      </c>
      <c r="P79" s="14" t="s">
        <v>2610</v>
      </c>
      <c r="Q79">
        <v>1</v>
      </c>
      <c r="R79" s="20"/>
    </row>
    <row r="80" spans="1:18" ht="20.100000000000001" customHeight="1">
      <c r="A80" s="7">
        <v>75</v>
      </c>
      <c r="B80" s="8">
        <v>3204132006</v>
      </c>
      <c r="C80" s="9" t="s">
        <v>513</v>
      </c>
      <c r="D80" s="10" t="s">
        <v>22</v>
      </c>
      <c r="E80" s="11" t="s">
        <v>514</v>
      </c>
      <c r="F80" s="11" t="s">
        <v>515</v>
      </c>
      <c r="G80" s="9" t="s">
        <v>516</v>
      </c>
      <c r="H80" s="9" t="s">
        <v>163</v>
      </c>
      <c r="I80" s="9" t="s">
        <v>450</v>
      </c>
      <c r="J80" s="9" t="s">
        <v>100</v>
      </c>
      <c r="K80" s="12" t="s">
        <v>19</v>
      </c>
      <c r="L80" s="13" t="s">
        <v>20</v>
      </c>
      <c r="M80" s="12" t="s">
        <v>2604</v>
      </c>
      <c r="N80" s="12" t="s">
        <v>2605</v>
      </c>
      <c r="O80" s="12" t="s">
        <v>195</v>
      </c>
      <c r="P80" s="14" t="s">
        <v>2621</v>
      </c>
      <c r="Q80">
        <v>1</v>
      </c>
      <c r="R80" s="20"/>
    </row>
    <row r="81" spans="1:18" ht="20.100000000000001" customHeight="1">
      <c r="A81" s="7">
        <v>76</v>
      </c>
      <c r="B81" s="8">
        <v>3204132006</v>
      </c>
      <c r="C81" s="9" t="s">
        <v>517</v>
      </c>
      <c r="D81" s="10" t="s">
        <v>22</v>
      </c>
      <c r="E81" s="11" t="s">
        <v>518</v>
      </c>
      <c r="F81" s="11" t="s">
        <v>519</v>
      </c>
      <c r="G81" s="9" t="s">
        <v>520</v>
      </c>
      <c r="H81" s="9" t="s">
        <v>163</v>
      </c>
      <c r="I81" s="9" t="s">
        <v>450</v>
      </c>
      <c r="J81" s="9" t="s">
        <v>100</v>
      </c>
      <c r="K81" s="12" t="s">
        <v>19</v>
      </c>
      <c r="L81" s="13" t="s">
        <v>20</v>
      </c>
      <c r="M81" s="12" t="s">
        <v>2604</v>
      </c>
      <c r="N81" s="12" t="s">
        <v>2605</v>
      </c>
      <c r="O81" s="12" t="s">
        <v>2622</v>
      </c>
      <c r="P81" s="14" t="s">
        <v>2607</v>
      </c>
      <c r="Q81">
        <v>1</v>
      </c>
      <c r="R81" s="20"/>
    </row>
    <row r="82" spans="1:18" ht="20.100000000000001" customHeight="1">
      <c r="A82" s="7">
        <v>77</v>
      </c>
      <c r="B82" s="8">
        <v>3204132006</v>
      </c>
      <c r="C82" s="9" t="s">
        <v>521</v>
      </c>
      <c r="D82" s="10" t="s">
        <v>22</v>
      </c>
      <c r="E82" s="11" t="s">
        <v>522</v>
      </c>
      <c r="F82" s="11" t="s">
        <v>523</v>
      </c>
      <c r="G82" s="9" t="s">
        <v>524</v>
      </c>
      <c r="H82" s="9" t="s">
        <v>163</v>
      </c>
      <c r="I82" s="9" t="s">
        <v>450</v>
      </c>
      <c r="J82" s="9" t="s">
        <v>100</v>
      </c>
      <c r="K82" s="12" t="s">
        <v>19</v>
      </c>
      <c r="L82" s="13" t="s">
        <v>20</v>
      </c>
      <c r="M82" s="12" t="s">
        <v>2604</v>
      </c>
      <c r="N82" s="12" t="s">
        <v>2605</v>
      </c>
      <c r="O82" s="12" t="s">
        <v>2616</v>
      </c>
      <c r="P82" s="14" t="s">
        <v>2607</v>
      </c>
      <c r="Q82">
        <v>1</v>
      </c>
      <c r="R82" s="20"/>
    </row>
    <row r="83" spans="1:18" ht="20.100000000000001" customHeight="1">
      <c r="A83" s="7">
        <v>78</v>
      </c>
      <c r="B83" s="8">
        <v>3204132006</v>
      </c>
      <c r="C83" s="9" t="s">
        <v>525</v>
      </c>
      <c r="D83" s="10" t="s">
        <v>22</v>
      </c>
      <c r="E83" s="11" t="s">
        <v>526</v>
      </c>
      <c r="F83" s="11" t="s">
        <v>527</v>
      </c>
      <c r="G83" s="9" t="s">
        <v>528</v>
      </c>
      <c r="H83" s="9" t="s">
        <v>163</v>
      </c>
      <c r="I83" s="9" t="s">
        <v>450</v>
      </c>
      <c r="J83" s="9" t="s">
        <v>100</v>
      </c>
      <c r="K83" s="12" t="s">
        <v>19</v>
      </c>
      <c r="L83" s="13" t="s">
        <v>20</v>
      </c>
      <c r="M83" s="12" t="s">
        <v>2604</v>
      </c>
      <c r="N83" s="12" t="s">
        <v>2605</v>
      </c>
      <c r="O83" s="12" t="s">
        <v>2612</v>
      </c>
      <c r="P83" s="14" t="s">
        <v>2613</v>
      </c>
      <c r="Q83">
        <v>1</v>
      </c>
      <c r="R83" s="20"/>
    </row>
    <row r="84" spans="1:18" ht="20.100000000000001" customHeight="1">
      <c r="A84" s="7">
        <v>79</v>
      </c>
      <c r="B84" s="8">
        <v>3204132006</v>
      </c>
      <c r="C84" s="9" t="s">
        <v>187</v>
      </c>
      <c r="D84" s="10" t="s">
        <v>22</v>
      </c>
      <c r="E84" s="11" t="s">
        <v>529</v>
      </c>
      <c r="F84" s="11" t="s">
        <v>530</v>
      </c>
      <c r="G84" s="9" t="s">
        <v>531</v>
      </c>
      <c r="H84" s="9" t="s">
        <v>163</v>
      </c>
      <c r="I84" s="9" t="s">
        <v>450</v>
      </c>
      <c r="J84" s="9" t="s">
        <v>100</v>
      </c>
      <c r="K84" s="12" t="s">
        <v>19</v>
      </c>
      <c r="L84" s="13" t="s">
        <v>20</v>
      </c>
      <c r="M84" s="12" t="s">
        <v>2604</v>
      </c>
      <c r="N84" s="12" t="s">
        <v>2605</v>
      </c>
      <c r="O84" s="12" t="s">
        <v>2606</v>
      </c>
      <c r="P84" s="14" t="s">
        <v>2607</v>
      </c>
      <c r="Q84">
        <v>1</v>
      </c>
      <c r="R84" s="20"/>
    </row>
    <row r="85" spans="1:18" ht="20.100000000000001" customHeight="1">
      <c r="A85" s="7">
        <v>80</v>
      </c>
      <c r="B85" s="8">
        <v>3204132006</v>
      </c>
      <c r="C85" s="9" t="s">
        <v>532</v>
      </c>
      <c r="D85" s="10" t="s">
        <v>22</v>
      </c>
      <c r="E85" s="11" t="s">
        <v>533</v>
      </c>
      <c r="F85" s="11" t="s">
        <v>534</v>
      </c>
      <c r="G85" s="9" t="s">
        <v>535</v>
      </c>
      <c r="H85" s="9" t="s">
        <v>163</v>
      </c>
      <c r="I85" s="9" t="s">
        <v>450</v>
      </c>
      <c r="J85" s="9" t="s">
        <v>100</v>
      </c>
      <c r="K85" s="12" t="s">
        <v>19</v>
      </c>
      <c r="L85" s="13" t="s">
        <v>20</v>
      </c>
      <c r="M85" s="12" t="s">
        <v>2604</v>
      </c>
      <c r="N85" s="12" t="s">
        <v>2605</v>
      </c>
      <c r="O85" s="12" t="s">
        <v>2622</v>
      </c>
      <c r="P85" s="14" t="s">
        <v>2607</v>
      </c>
      <c r="Q85">
        <v>1</v>
      </c>
      <c r="R85" s="20"/>
    </row>
    <row r="86" spans="1:18" ht="20.100000000000001" customHeight="1">
      <c r="A86" s="7">
        <v>81</v>
      </c>
      <c r="B86" s="8">
        <v>3204132006</v>
      </c>
      <c r="C86" s="9" t="s">
        <v>536</v>
      </c>
      <c r="D86" s="10" t="s">
        <v>22</v>
      </c>
      <c r="E86" s="11" t="s">
        <v>537</v>
      </c>
      <c r="F86" s="11" t="s">
        <v>538</v>
      </c>
      <c r="G86" s="9" t="s">
        <v>539</v>
      </c>
      <c r="H86" s="9" t="s">
        <v>163</v>
      </c>
      <c r="I86" s="9" t="s">
        <v>450</v>
      </c>
      <c r="J86" s="9" t="s">
        <v>100</v>
      </c>
      <c r="K86" s="12" t="s">
        <v>19</v>
      </c>
      <c r="L86" s="13" t="s">
        <v>20</v>
      </c>
      <c r="M86" s="12" t="s">
        <v>2604</v>
      </c>
      <c r="N86" s="12" t="s">
        <v>2605</v>
      </c>
      <c r="O86" s="12" t="s">
        <v>2606</v>
      </c>
      <c r="P86" s="14" t="s">
        <v>2607</v>
      </c>
      <c r="Q86">
        <v>1</v>
      </c>
      <c r="R86" s="20"/>
    </row>
    <row r="87" spans="1:18" ht="20.100000000000001" customHeight="1">
      <c r="A87" s="7">
        <v>82</v>
      </c>
      <c r="B87" s="8">
        <v>3204132006</v>
      </c>
      <c r="C87" s="9" t="s">
        <v>540</v>
      </c>
      <c r="D87" s="10" t="s">
        <v>22</v>
      </c>
      <c r="E87" s="11" t="s">
        <v>541</v>
      </c>
      <c r="F87" s="11" t="s">
        <v>542</v>
      </c>
      <c r="G87" s="9" t="s">
        <v>543</v>
      </c>
      <c r="H87" s="9" t="s">
        <v>163</v>
      </c>
      <c r="I87" s="9" t="s">
        <v>450</v>
      </c>
      <c r="J87" s="9" t="s">
        <v>100</v>
      </c>
      <c r="K87" s="12" t="s">
        <v>19</v>
      </c>
      <c r="L87" s="13" t="s">
        <v>20</v>
      </c>
      <c r="M87" s="12" t="s">
        <v>2604</v>
      </c>
      <c r="N87" s="12" t="s">
        <v>2605</v>
      </c>
      <c r="O87" s="12" t="s">
        <v>2618</v>
      </c>
      <c r="P87" s="14" t="s">
        <v>2610</v>
      </c>
      <c r="Q87">
        <v>1</v>
      </c>
      <c r="R87" s="20"/>
    </row>
    <row r="88" spans="1:18" ht="20.100000000000001" customHeight="1">
      <c r="A88" s="7">
        <v>83</v>
      </c>
      <c r="B88" s="8">
        <v>3204132006</v>
      </c>
      <c r="C88" s="9" t="s">
        <v>544</v>
      </c>
      <c r="D88" s="10" t="s">
        <v>22</v>
      </c>
      <c r="E88" s="11" t="s">
        <v>545</v>
      </c>
      <c r="F88" s="11" t="s">
        <v>546</v>
      </c>
      <c r="G88" s="9" t="s">
        <v>547</v>
      </c>
      <c r="H88" s="9" t="s">
        <v>163</v>
      </c>
      <c r="I88" s="9" t="s">
        <v>450</v>
      </c>
      <c r="J88" s="9" t="s">
        <v>100</v>
      </c>
      <c r="K88" s="12" t="s">
        <v>19</v>
      </c>
      <c r="L88" s="13" t="s">
        <v>20</v>
      </c>
      <c r="M88" s="12" t="s">
        <v>2604</v>
      </c>
      <c r="N88" s="12" t="s">
        <v>2605</v>
      </c>
      <c r="O88" s="12" t="s">
        <v>2616</v>
      </c>
      <c r="P88" s="14" t="s">
        <v>2607</v>
      </c>
      <c r="Q88">
        <v>1</v>
      </c>
      <c r="R88" s="20"/>
    </row>
    <row r="89" spans="1:18" ht="20.100000000000001" customHeight="1">
      <c r="A89" s="7">
        <v>84</v>
      </c>
      <c r="B89" s="8">
        <v>3204132006</v>
      </c>
      <c r="C89" s="9" t="s">
        <v>548</v>
      </c>
      <c r="D89" s="10" t="s">
        <v>22</v>
      </c>
      <c r="E89" s="11" t="s">
        <v>549</v>
      </c>
      <c r="F89" s="11" t="s">
        <v>550</v>
      </c>
      <c r="G89" s="9" t="s">
        <v>551</v>
      </c>
      <c r="H89" s="9" t="s">
        <v>163</v>
      </c>
      <c r="I89" s="9" t="s">
        <v>450</v>
      </c>
      <c r="J89" s="9" t="s">
        <v>100</v>
      </c>
      <c r="K89" s="12" t="s">
        <v>19</v>
      </c>
      <c r="L89" s="13" t="s">
        <v>20</v>
      </c>
      <c r="M89" s="12" t="s">
        <v>2604</v>
      </c>
      <c r="N89" s="12" t="s">
        <v>2605</v>
      </c>
      <c r="O89" s="12" t="s">
        <v>2606</v>
      </c>
      <c r="P89" s="14" t="s">
        <v>2607</v>
      </c>
      <c r="Q89">
        <v>1</v>
      </c>
      <c r="R89" s="20"/>
    </row>
    <row r="90" spans="1:18" ht="20.100000000000001" customHeight="1">
      <c r="A90" s="7">
        <v>85</v>
      </c>
      <c r="B90" s="8">
        <v>3204082002</v>
      </c>
      <c r="C90" s="9" t="s">
        <v>552</v>
      </c>
      <c r="D90" s="10" t="s">
        <v>22</v>
      </c>
      <c r="E90" s="11" t="s">
        <v>553</v>
      </c>
      <c r="F90" s="11" t="s">
        <v>554</v>
      </c>
      <c r="G90" s="9" t="s">
        <v>555</v>
      </c>
      <c r="H90" s="9" t="s">
        <v>556</v>
      </c>
      <c r="I90" s="9" t="s">
        <v>556</v>
      </c>
      <c r="J90" s="9" t="s">
        <v>100</v>
      </c>
      <c r="K90" s="12" t="s">
        <v>19</v>
      </c>
      <c r="L90" s="13" t="s">
        <v>20</v>
      </c>
      <c r="M90" s="12" t="s">
        <v>2604</v>
      </c>
      <c r="N90" s="12" t="s">
        <v>2605</v>
      </c>
      <c r="O90" s="12" t="s">
        <v>2616</v>
      </c>
      <c r="P90" s="14" t="s">
        <v>2607</v>
      </c>
      <c r="Q90">
        <v>1</v>
      </c>
      <c r="R90" s="20">
        <f>SUM(Q90:Q101)</f>
        <v>12</v>
      </c>
    </row>
    <row r="91" spans="1:18" ht="20.100000000000001" customHeight="1">
      <c r="A91" s="7">
        <v>86</v>
      </c>
      <c r="B91" s="8">
        <v>3204082002</v>
      </c>
      <c r="C91" s="9" t="s">
        <v>557</v>
      </c>
      <c r="D91" s="10" t="s">
        <v>22</v>
      </c>
      <c r="E91" s="11" t="s">
        <v>558</v>
      </c>
      <c r="F91" s="11" t="s">
        <v>559</v>
      </c>
      <c r="G91" s="9" t="s">
        <v>560</v>
      </c>
      <c r="H91" s="9" t="s">
        <v>556</v>
      </c>
      <c r="I91" s="9" t="s">
        <v>556</v>
      </c>
      <c r="J91" s="9" t="s">
        <v>100</v>
      </c>
      <c r="K91" s="12" t="s">
        <v>19</v>
      </c>
      <c r="L91" s="13" t="s">
        <v>20</v>
      </c>
      <c r="M91" s="12" t="s">
        <v>2604</v>
      </c>
      <c r="N91" s="12" t="s">
        <v>2605</v>
      </c>
      <c r="O91" s="12" t="s">
        <v>2618</v>
      </c>
      <c r="P91" s="14" t="s">
        <v>2610</v>
      </c>
      <c r="Q91">
        <v>1</v>
      </c>
      <c r="R91" s="20"/>
    </row>
    <row r="92" spans="1:18" ht="20.100000000000001" customHeight="1">
      <c r="A92" s="7">
        <v>87</v>
      </c>
      <c r="B92" s="8">
        <v>3204082002</v>
      </c>
      <c r="C92" s="9" t="s">
        <v>561</v>
      </c>
      <c r="D92" s="10" t="s">
        <v>18</v>
      </c>
      <c r="E92" s="11" t="s">
        <v>562</v>
      </c>
      <c r="F92" s="11" t="s">
        <v>563</v>
      </c>
      <c r="G92" s="9" t="s">
        <v>564</v>
      </c>
      <c r="H92" s="9" t="s">
        <v>556</v>
      </c>
      <c r="I92" s="9" t="s">
        <v>556</v>
      </c>
      <c r="J92" s="9" t="s">
        <v>100</v>
      </c>
      <c r="K92" s="12" t="s">
        <v>19</v>
      </c>
      <c r="L92" s="13" t="s">
        <v>20</v>
      </c>
      <c r="M92" s="12" t="s">
        <v>2604</v>
      </c>
      <c r="N92" s="12" t="s">
        <v>2605</v>
      </c>
      <c r="O92" s="12" t="s">
        <v>2622</v>
      </c>
      <c r="P92" s="14" t="s">
        <v>2607</v>
      </c>
      <c r="Q92">
        <v>1</v>
      </c>
      <c r="R92" s="20"/>
    </row>
    <row r="93" spans="1:18" ht="20.100000000000001" customHeight="1">
      <c r="A93" s="7">
        <v>88</v>
      </c>
      <c r="B93" s="8">
        <v>3204082002</v>
      </c>
      <c r="C93" s="9" t="s">
        <v>44</v>
      </c>
      <c r="D93" s="10" t="s">
        <v>18</v>
      </c>
      <c r="E93" s="11" t="s">
        <v>565</v>
      </c>
      <c r="F93" s="11" t="s">
        <v>566</v>
      </c>
      <c r="G93" s="9" t="s">
        <v>567</v>
      </c>
      <c r="H93" s="9" t="s">
        <v>556</v>
      </c>
      <c r="I93" s="9" t="s">
        <v>556</v>
      </c>
      <c r="J93" s="9" t="s">
        <v>100</v>
      </c>
      <c r="K93" s="12" t="s">
        <v>19</v>
      </c>
      <c r="L93" s="13" t="s">
        <v>20</v>
      </c>
      <c r="M93" s="12" t="s">
        <v>2604</v>
      </c>
      <c r="N93" s="12" t="s">
        <v>2605</v>
      </c>
      <c r="O93" s="12" t="s">
        <v>2627</v>
      </c>
      <c r="P93" s="14" t="s">
        <v>2610</v>
      </c>
      <c r="Q93">
        <v>1</v>
      </c>
      <c r="R93" s="20"/>
    </row>
    <row r="94" spans="1:18" ht="20.100000000000001" customHeight="1">
      <c r="A94" s="7">
        <v>89</v>
      </c>
      <c r="B94" s="8">
        <v>3204082002</v>
      </c>
      <c r="C94" s="9" t="s">
        <v>568</v>
      </c>
      <c r="D94" s="10" t="s">
        <v>22</v>
      </c>
      <c r="E94" s="11" t="s">
        <v>569</v>
      </c>
      <c r="F94" s="11" t="s">
        <v>570</v>
      </c>
      <c r="G94" s="9" t="s">
        <v>571</v>
      </c>
      <c r="H94" s="9" t="s">
        <v>556</v>
      </c>
      <c r="I94" s="9" t="s">
        <v>556</v>
      </c>
      <c r="J94" s="9" t="s">
        <v>100</v>
      </c>
      <c r="K94" s="12" t="s">
        <v>19</v>
      </c>
      <c r="L94" s="13" t="s">
        <v>20</v>
      </c>
      <c r="M94" s="12" t="s">
        <v>2604</v>
      </c>
      <c r="N94" s="12" t="s">
        <v>2605</v>
      </c>
      <c r="O94" s="12" t="s">
        <v>2611</v>
      </c>
      <c r="P94" s="14" t="s">
        <v>2607</v>
      </c>
      <c r="Q94">
        <v>1</v>
      </c>
      <c r="R94" s="20"/>
    </row>
    <row r="95" spans="1:18" ht="20.100000000000001" customHeight="1">
      <c r="A95" s="7">
        <v>90</v>
      </c>
      <c r="B95" s="8">
        <v>3204082002</v>
      </c>
      <c r="C95" s="9" t="s">
        <v>572</v>
      </c>
      <c r="D95" s="10" t="s">
        <v>22</v>
      </c>
      <c r="E95" s="11" t="s">
        <v>573</v>
      </c>
      <c r="F95" s="11" t="s">
        <v>574</v>
      </c>
      <c r="G95" s="9" t="s">
        <v>575</v>
      </c>
      <c r="H95" s="9" t="s">
        <v>556</v>
      </c>
      <c r="I95" s="9" t="s">
        <v>556</v>
      </c>
      <c r="J95" s="9" t="s">
        <v>100</v>
      </c>
      <c r="K95" s="12" t="s">
        <v>19</v>
      </c>
      <c r="L95" s="13" t="s">
        <v>20</v>
      </c>
      <c r="M95" s="12" t="s">
        <v>2604</v>
      </c>
      <c r="N95" s="12" t="s">
        <v>2605</v>
      </c>
      <c r="O95" s="12" t="s">
        <v>2618</v>
      </c>
      <c r="P95" s="14" t="s">
        <v>2610</v>
      </c>
      <c r="Q95">
        <v>1</v>
      </c>
      <c r="R95" s="20"/>
    </row>
    <row r="96" spans="1:18" ht="20.100000000000001" customHeight="1">
      <c r="A96" s="7">
        <v>91</v>
      </c>
      <c r="B96" s="8">
        <v>3204082002</v>
      </c>
      <c r="C96" s="9" t="s">
        <v>576</v>
      </c>
      <c r="D96" s="10" t="s">
        <v>22</v>
      </c>
      <c r="E96" s="11" t="s">
        <v>577</v>
      </c>
      <c r="F96" s="11" t="s">
        <v>578</v>
      </c>
      <c r="G96" s="9" t="s">
        <v>579</v>
      </c>
      <c r="H96" s="9" t="s">
        <v>556</v>
      </c>
      <c r="I96" s="9" t="s">
        <v>556</v>
      </c>
      <c r="J96" s="9" t="s">
        <v>100</v>
      </c>
      <c r="K96" s="12" t="s">
        <v>19</v>
      </c>
      <c r="L96" s="13" t="s">
        <v>20</v>
      </c>
      <c r="M96" s="12" t="s">
        <v>2604</v>
      </c>
      <c r="N96" s="12" t="s">
        <v>2605</v>
      </c>
      <c r="O96" s="12" t="s">
        <v>2616</v>
      </c>
      <c r="P96" s="14" t="s">
        <v>2607</v>
      </c>
      <c r="Q96">
        <v>1</v>
      </c>
      <c r="R96" s="20"/>
    </row>
    <row r="97" spans="1:18" ht="20.100000000000001" customHeight="1">
      <c r="A97" s="7">
        <v>92</v>
      </c>
      <c r="B97" s="8">
        <v>3204082002</v>
      </c>
      <c r="C97" s="9" t="s">
        <v>580</v>
      </c>
      <c r="D97" s="10" t="s">
        <v>22</v>
      </c>
      <c r="E97" s="11" t="s">
        <v>581</v>
      </c>
      <c r="F97" s="11" t="s">
        <v>582</v>
      </c>
      <c r="G97" s="9" t="s">
        <v>583</v>
      </c>
      <c r="H97" s="9" t="s">
        <v>556</v>
      </c>
      <c r="I97" s="9" t="s">
        <v>556</v>
      </c>
      <c r="J97" s="9" t="s">
        <v>100</v>
      </c>
      <c r="K97" s="12" t="s">
        <v>19</v>
      </c>
      <c r="L97" s="13" t="s">
        <v>20</v>
      </c>
      <c r="M97" s="12" t="s">
        <v>2604</v>
      </c>
      <c r="N97" s="12" t="s">
        <v>2605</v>
      </c>
      <c r="O97" s="12" t="s">
        <v>2608</v>
      </c>
      <c r="P97" s="14" t="s">
        <v>2607</v>
      </c>
      <c r="Q97">
        <v>1</v>
      </c>
      <c r="R97" s="20"/>
    </row>
    <row r="98" spans="1:18" ht="20.100000000000001" customHeight="1">
      <c r="A98" s="7">
        <v>93</v>
      </c>
      <c r="B98" s="8">
        <v>3204082002</v>
      </c>
      <c r="C98" s="9" t="s">
        <v>212</v>
      </c>
      <c r="D98" s="10" t="s">
        <v>22</v>
      </c>
      <c r="E98" s="11" t="s">
        <v>584</v>
      </c>
      <c r="F98" s="11" t="s">
        <v>585</v>
      </c>
      <c r="G98" s="9" t="s">
        <v>586</v>
      </c>
      <c r="H98" s="9" t="s">
        <v>556</v>
      </c>
      <c r="I98" s="9" t="s">
        <v>556</v>
      </c>
      <c r="J98" s="9" t="s">
        <v>100</v>
      </c>
      <c r="K98" s="12" t="s">
        <v>19</v>
      </c>
      <c r="L98" s="13" t="s">
        <v>20</v>
      </c>
      <c r="M98" s="12" t="s">
        <v>2604</v>
      </c>
      <c r="N98" s="12" t="s">
        <v>2605</v>
      </c>
      <c r="O98" s="12" t="s">
        <v>2608</v>
      </c>
      <c r="P98" s="14" t="s">
        <v>2607</v>
      </c>
      <c r="Q98">
        <v>1</v>
      </c>
      <c r="R98" s="20"/>
    </row>
    <row r="99" spans="1:18" ht="20.100000000000001" customHeight="1">
      <c r="A99" s="7">
        <v>94</v>
      </c>
      <c r="B99" s="8">
        <v>3204082002</v>
      </c>
      <c r="C99" s="9" t="s">
        <v>587</v>
      </c>
      <c r="D99" s="10" t="s">
        <v>22</v>
      </c>
      <c r="E99" s="11" t="s">
        <v>588</v>
      </c>
      <c r="F99" s="11" t="s">
        <v>589</v>
      </c>
      <c r="G99" s="9" t="s">
        <v>590</v>
      </c>
      <c r="H99" s="9" t="s">
        <v>556</v>
      </c>
      <c r="I99" s="9" t="s">
        <v>556</v>
      </c>
      <c r="J99" s="9" t="s">
        <v>100</v>
      </c>
      <c r="K99" s="12" t="s">
        <v>19</v>
      </c>
      <c r="L99" s="13" t="s">
        <v>20</v>
      </c>
      <c r="M99" s="12" t="s">
        <v>2604</v>
      </c>
      <c r="N99" s="12" t="s">
        <v>2605</v>
      </c>
      <c r="O99" s="12" t="s">
        <v>2627</v>
      </c>
      <c r="P99" s="14" t="s">
        <v>2610</v>
      </c>
      <c r="Q99">
        <v>1</v>
      </c>
      <c r="R99" s="20"/>
    </row>
    <row r="100" spans="1:18" ht="20.100000000000001" customHeight="1">
      <c r="A100" s="7">
        <v>95</v>
      </c>
      <c r="B100" s="8">
        <v>3204082002</v>
      </c>
      <c r="C100" s="9" t="s">
        <v>591</v>
      </c>
      <c r="D100" s="10" t="s">
        <v>22</v>
      </c>
      <c r="E100" s="11" t="s">
        <v>592</v>
      </c>
      <c r="F100" s="11" t="s">
        <v>593</v>
      </c>
      <c r="G100" s="9" t="s">
        <v>594</v>
      </c>
      <c r="H100" s="9" t="s">
        <v>556</v>
      </c>
      <c r="I100" s="9" t="s">
        <v>556</v>
      </c>
      <c r="J100" s="9" t="s">
        <v>100</v>
      </c>
      <c r="K100" s="12" t="s">
        <v>19</v>
      </c>
      <c r="L100" s="13" t="s">
        <v>20</v>
      </c>
      <c r="M100" s="12" t="s">
        <v>2604</v>
      </c>
      <c r="N100" s="12" t="s">
        <v>2605</v>
      </c>
      <c r="O100" s="12" t="s">
        <v>2608</v>
      </c>
      <c r="P100" s="14" t="s">
        <v>2607</v>
      </c>
      <c r="Q100">
        <v>1</v>
      </c>
      <c r="R100" s="20"/>
    </row>
    <row r="101" spans="1:18" ht="20.100000000000001" customHeight="1">
      <c r="A101" s="7">
        <v>96</v>
      </c>
      <c r="B101" s="8">
        <v>3204082002</v>
      </c>
      <c r="C101" s="9" t="s">
        <v>595</v>
      </c>
      <c r="D101" s="10" t="s">
        <v>22</v>
      </c>
      <c r="E101" s="11" t="s">
        <v>596</v>
      </c>
      <c r="F101" s="11" t="s">
        <v>597</v>
      </c>
      <c r="G101" s="9" t="s">
        <v>598</v>
      </c>
      <c r="H101" s="9" t="s">
        <v>556</v>
      </c>
      <c r="I101" s="9" t="s">
        <v>556</v>
      </c>
      <c r="J101" s="9" t="s">
        <v>100</v>
      </c>
      <c r="K101" s="12" t="s">
        <v>19</v>
      </c>
      <c r="L101" s="13" t="s">
        <v>20</v>
      </c>
      <c r="M101" s="12" t="s">
        <v>2604</v>
      </c>
      <c r="N101" s="12" t="s">
        <v>2605</v>
      </c>
      <c r="O101" s="12" t="s">
        <v>2606</v>
      </c>
      <c r="P101" s="14" t="s">
        <v>2607</v>
      </c>
      <c r="Q101">
        <v>1</v>
      </c>
      <c r="R101" s="20"/>
    </row>
    <row r="102" spans="1:18" ht="20.100000000000001" customHeight="1">
      <c r="A102" s="7">
        <v>97</v>
      </c>
      <c r="B102" s="8">
        <v>3204252003</v>
      </c>
      <c r="C102" s="9" t="s">
        <v>74</v>
      </c>
      <c r="D102" s="10" t="s">
        <v>22</v>
      </c>
      <c r="E102" s="11" t="s">
        <v>599</v>
      </c>
      <c r="F102" s="11" t="s">
        <v>600</v>
      </c>
      <c r="G102" s="9" t="s">
        <v>601</v>
      </c>
      <c r="H102" s="9" t="s">
        <v>602</v>
      </c>
      <c r="I102" s="9" t="s">
        <v>603</v>
      </c>
      <c r="J102" s="9" t="s">
        <v>100</v>
      </c>
      <c r="K102" s="12" t="s">
        <v>19</v>
      </c>
      <c r="L102" s="13" t="s">
        <v>20</v>
      </c>
      <c r="M102" s="12" t="s">
        <v>2604</v>
      </c>
      <c r="N102" s="12" t="s">
        <v>2605</v>
      </c>
      <c r="O102" s="12" t="s">
        <v>2628</v>
      </c>
      <c r="P102" s="14" t="s">
        <v>2615</v>
      </c>
      <c r="Q102">
        <v>1</v>
      </c>
      <c r="R102" s="20">
        <f>SUM(Q102:Q111)</f>
        <v>10</v>
      </c>
    </row>
    <row r="103" spans="1:18" ht="20.100000000000001" customHeight="1">
      <c r="A103" s="7">
        <v>98</v>
      </c>
      <c r="B103" s="8">
        <v>3204252003</v>
      </c>
      <c r="C103" s="9" t="s">
        <v>604</v>
      </c>
      <c r="D103" s="10" t="s">
        <v>22</v>
      </c>
      <c r="E103" s="11" t="s">
        <v>605</v>
      </c>
      <c r="F103" s="11" t="s">
        <v>606</v>
      </c>
      <c r="G103" s="9" t="s">
        <v>607</v>
      </c>
      <c r="H103" s="9" t="s">
        <v>602</v>
      </c>
      <c r="I103" s="9" t="s">
        <v>603</v>
      </c>
      <c r="J103" s="9" t="s">
        <v>100</v>
      </c>
      <c r="K103" s="12" t="s">
        <v>19</v>
      </c>
      <c r="L103" s="13" t="s">
        <v>20</v>
      </c>
      <c r="M103" s="12" t="s">
        <v>2604</v>
      </c>
      <c r="N103" s="12" t="s">
        <v>2605</v>
      </c>
      <c r="O103" s="12" t="s">
        <v>2623</v>
      </c>
      <c r="P103" s="14" t="s">
        <v>2615</v>
      </c>
      <c r="Q103">
        <v>1</v>
      </c>
      <c r="R103" s="20"/>
    </row>
    <row r="104" spans="1:18" ht="20.100000000000001" customHeight="1">
      <c r="A104" s="7">
        <v>99</v>
      </c>
      <c r="B104" s="8">
        <v>3204252003</v>
      </c>
      <c r="C104" s="9" t="s">
        <v>608</v>
      </c>
      <c r="D104" s="10" t="s">
        <v>18</v>
      </c>
      <c r="E104" s="11" t="s">
        <v>609</v>
      </c>
      <c r="F104" s="11" t="s">
        <v>610</v>
      </c>
      <c r="G104" s="9" t="s">
        <v>607</v>
      </c>
      <c r="H104" s="9" t="s">
        <v>602</v>
      </c>
      <c r="I104" s="9" t="s">
        <v>603</v>
      </c>
      <c r="J104" s="9" t="s">
        <v>100</v>
      </c>
      <c r="K104" s="12" t="s">
        <v>19</v>
      </c>
      <c r="L104" s="13" t="s">
        <v>20</v>
      </c>
      <c r="M104" s="12" t="s">
        <v>2604</v>
      </c>
      <c r="N104" s="12" t="s">
        <v>2605</v>
      </c>
      <c r="O104" s="12" t="s">
        <v>2606</v>
      </c>
      <c r="P104" s="14" t="s">
        <v>2607</v>
      </c>
      <c r="Q104">
        <v>1</v>
      </c>
      <c r="R104" s="20"/>
    </row>
    <row r="105" spans="1:18" ht="20.100000000000001" customHeight="1">
      <c r="A105" s="7">
        <v>100</v>
      </c>
      <c r="B105" s="8">
        <v>3204252003</v>
      </c>
      <c r="C105" s="9" t="s">
        <v>31</v>
      </c>
      <c r="D105" s="10" t="s">
        <v>22</v>
      </c>
      <c r="E105" s="11" t="s">
        <v>611</v>
      </c>
      <c r="F105" s="11" t="s">
        <v>612</v>
      </c>
      <c r="G105" s="9" t="s">
        <v>613</v>
      </c>
      <c r="H105" s="9" t="s">
        <v>602</v>
      </c>
      <c r="I105" s="9" t="s">
        <v>603</v>
      </c>
      <c r="J105" s="9" t="s">
        <v>100</v>
      </c>
      <c r="K105" s="12" t="s">
        <v>19</v>
      </c>
      <c r="L105" s="13" t="s">
        <v>20</v>
      </c>
      <c r="M105" s="12" t="s">
        <v>2604</v>
      </c>
      <c r="N105" s="12" t="s">
        <v>2605</v>
      </c>
      <c r="O105" s="12" t="s">
        <v>2628</v>
      </c>
      <c r="P105" s="14" t="s">
        <v>2615</v>
      </c>
      <c r="Q105">
        <v>1</v>
      </c>
      <c r="R105" s="20"/>
    </row>
    <row r="106" spans="1:18" ht="20.100000000000001" customHeight="1">
      <c r="A106" s="7">
        <v>101</v>
      </c>
      <c r="B106" s="8">
        <v>3204252003</v>
      </c>
      <c r="C106" s="9" t="s">
        <v>614</v>
      </c>
      <c r="D106" s="10" t="s">
        <v>22</v>
      </c>
      <c r="E106" s="11" t="s">
        <v>615</v>
      </c>
      <c r="F106" s="11" t="s">
        <v>616</v>
      </c>
      <c r="G106" s="9" t="s">
        <v>617</v>
      </c>
      <c r="H106" s="9" t="s">
        <v>602</v>
      </c>
      <c r="I106" s="9" t="s">
        <v>603</v>
      </c>
      <c r="J106" s="9" t="s">
        <v>100</v>
      </c>
      <c r="K106" s="12" t="s">
        <v>19</v>
      </c>
      <c r="L106" s="13" t="s">
        <v>20</v>
      </c>
      <c r="M106" s="12" t="s">
        <v>2604</v>
      </c>
      <c r="N106" s="12" t="s">
        <v>2605</v>
      </c>
      <c r="O106" s="12" t="s">
        <v>2608</v>
      </c>
      <c r="P106" s="14" t="s">
        <v>2607</v>
      </c>
      <c r="Q106">
        <v>1</v>
      </c>
      <c r="R106" s="20"/>
    </row>
    <row r="107" spans="1:18" ht="20.100000000000001" customHeight="1">
      <c r="A107" s="7">
        <v>102</v>
      </c>
      <c r="B107" s="8">
        <v>3204252003</v>
      </c>
      <c r="C107" s="9" t="s">
        <v>108</v>
      </c>
      <c r="D107" s="10" t="s">
        <v>18</v>
      </c>
      <c r="E107" s="11" t="s">
        <v>618</v>
      </c>
      <c r="F107" s="11" t="s">
        <v>619</v>
      </c>
      <c r="G107" s="9" t="s">
        <v>620</v>
      </c>
      <c r="H107" s="9" t="s">
        <v>602</v>
      </c>
      <c r="I107" s="9" t="s">
        <v>603</v>
      </c>
      <c r="J107" s="9" t="s">
        <v>100</v>
      </c>
      <c r="K107" s="12" t="s">
        <v>19</v>
      </c>
      <c r="L107" s="13" t="s">
        <v>20</v>
      </c>
      <c r="M107" s="12" t="s">
        <v>2604</v>
      </c>
      <c r="N107" s="12" t="s">
        <v>2605</v>
      </c>
      <c r="O107" s="12" t="s">
        <v>2627</v>
      </c>
      <c r="P107" s="14" t="s">
        <v>2610</v>
      </c>
      <c r="Q107">
        <v>1</v>
      </c>
      <c r="R107" s="20"/>
    </row>
    <row r="108" spans="1:18" ht="20.100000000000001" customHeight="1">
      <c r="A108" s="7">
        <v>103</v>
      </c>
      <c r="B108" s="8">
        <v>3204252003</v>
      </c>
      <c r="C108" s="9" t="s">
        <v>621</v>
      </c>
      <c r="D108" s="10" t="s">
        <v>22</v>
      </c>
      <c r="E108" s="11" t="s">
        <v>622</v>
      </c>
      <c r="F108" s="11" t="s">
        <v>623</v>
      </c>
      <c r="G108" s="9" t="s">
        <v>624</v>
      </c>
      <c r="H108" s="9" t="s">
        <v>602</v>
      </c>
      <c r="I108" s="9" t="s">
        <v>603</v>
      </c>
      <c r="J108" s="9" t="s">
        <v>100</v>
      </c>
      <c r="K108" s="12" t="s">
        <v>19</v>
      </c>
      <c r="L108" s="13" t="s">
        <v>20</v>
      </c>
      <c r="M108" s="12" t="s">
        <v>2604</v>
      </c>
      <c r="N108" s="12" t="s">
        <v>2605</v>
      </c>
      <c r="O108" s="12" t="s">
        <v>2628</v>
      </c>
      <c r="P108" s="14" t="s">
        <v>2615</v>
      </c>
      <c r="Q108">
        <v>1</v>
      </c>
      <c r="R108" s="20"/>
    </row>
    <row r="109" spans="1:18" ht="20.100000000000001" customHeight="1">
      <c r="A109" s="7">
        <v>104</v>
      </c>
      <c r="B109" s="8">
        <v>3204252003</v>
      </c>
      <c r="C109" s="9" t="s">
        <v>74</v>
      </c>
      <c r="D109" s="10" t="s">
        <v>22</v>
      </c>
      <c r="E109" s="11" t="s">
        <v>625</v>
      </c>
      <c r="F109" s="11" t="s">
        <v>626</v>
      </c>
      <c r="G109" s="9" t="s">
        <v>627</v>
      </c>
      <c r="H109" s="9" t="s">
        <v>602</v>
      </c>
      <c r="I109" s="9" t="s">
        <v>603</v>
      </c>
      <c r="J109" s="9" t="s">
        <v>100</v>
      </c>
      <c r="K109" s="12" t="s">
        <v>19</v>
      </c>
      <c r="L109" s="13" t="s">
        <v>20</v>
      </c>
      <c r="M109" s="12" t="s">
        <v>2604</v>
      </c>
      <c r="N109" s="12" t="s">
        <v>2605</v>
      </c>
      <c r="O109" s="12" t="s">
        <v>2611</v>
      </c>
      <c r="P109" s="14" t="s">
        <v>2607</v>
      </c>
      <c r="Q109">
        <v>1</v>
      </c>
      <c r="R109" s="20"/>
    </row>
    <row r="110" spans="1:18" ht="20.100000000000001" customHeight="1">
      <c r="A110" s="7">
        <v>105</v>
      </c>
      <c r="B110" s="8">
        <v>3204252003</v>
      </c>
      <c r="C110" s="9" t="s">
        <v>205</v>
      </c>
      <c r="D110" s="10" t="s">
        <v>22</v>
      </c>
      <c r="E110" s="11" t="s">
        <v>628</v>
      </c>
      <c r="F110" s="11" t="s">
        <v>629</v>
      </c>
      <c r="G110" s="9" t="s">
        <v>630</v>
      </c>
      <c r="H110" s="9" t="s">
        <v>602</v>
      </c>
      <c r="I110" s="9" t="s">
        <v>603</v>
      </c>
      <c r="J110" s="9" t="s">
        <v>100</v>
      </c>
      <c r="K110" s="12" t="s">
        <v>19</v>
      </c>
      <c r="L110" s="13" t="s">
        <v>20</v>
      </c>
      <c r="M110" s="12" t="s">
        <v>2604</v>
      </c>
      <c r="N110" s="12" t="s">
        <v>2605</v>
      </c>
      <c r="O110" s="12" t="s">
        <v>2611</v>
      </c>
      <c r="P110" s="14" t="s">
        <v>2607</v>
      </c>
      <c r="Q110">
        <v>1</v>
      </c>
      <c r="R110" s="20"/>
    </row>
    <row r="111" spans="1:18" ht="20.100000000000001" customHeight="1">
      <c r="A111" s="7">
        <v>106</v>
      </c>
      <c r="B111" s="8">
        <v>3204252003</v>
      </c>
      <c r="C111" s="9" t="s">
        <v>631</v>
      </c>
      <c r="D111" s="10" t="s">
        <v>22</v>
      </c>
      <c r="E111" s="11" t="s">
        <v>632</v>
      </c>
      <c r="F111" s="11" t="s">
        <v>633</v>
      </c>
      <c r="G111" s="9" t="s">
        <v>634</v>
      </c>
      <c r="H111" s="9" t="s">
        <v>602</v>
      </c>
      <c r="I111" s="9" t="s">
        <v>603</v>
      </c>
      <c r="J111" s="9" t="s">
        <v>100</v>
      </c>
      <c r="K111" s="12" t="s">
        <v>19</v>
      </c>
      <c r="L111" s="13" t="s">
        <v>20</v>
      </c>
      <c r="M111" s="12" t="s">
        <v>2604</v>
      </c>
      <c r="N111" s="12" t="s">
        <v>2605</v>
      </c>
      <c r="O111" s="12" t="s">
        <v>2611</v>
      </c>
      <c r="P111" s="14" t="s">
        <v>2607</v>
      </c>
      <c r="Q111">
        <v>1</v>
      </c>
      <c r="R111" s="20"/>
    </row>
    <row r="112" spans="1:18" ht="20.100000000000001" customHeight="1">
      <c r="A112" s="7">
        <v>107</v>
      </c>
      <c r="B112" s="8">
        <v>3204252009</v>
      </c>
      <c r="C112" s="9" t="s">
        <v>635</v>
      </c>
      <c r="D112" s="10" t="s">
        <v>22</v>
      </c>
      <c r="E112" s="11" t="s">
        <v>636</v>
      </c>
      <c r="F112" s="11" t="s">
        <v>637</v>
      </c>
      <c r="G112" s="9" t="s">
        <v>638</v>
      </c>
      <c r="H112" s="9" t="s">
        <v>639</v>
      </c>
      <c r="I112" s="9" t="s">
        <v>603</v>
      </c>
      <c r="J112" s="9" t="s">
        <v>100</v>
      </c>
      <c r="K112" s="12" t="s">
        <v>19</v>
      </c>
      <c r="L112" s="13" t="s">
        <v>20</v>
      </c>
      <c r="M112" s="12" t="s">
        <v>2604</v>
      </c>
      <c r="N112" s="12" t="s">
        <v>2605</v>
      </c>
      <c r="O112" s="12" t="s">
        <v>2616</v>
      </c>
      <c r="P112" s="14" t="s">
        <v>2607</v>
      </c>
      <c r="Q112">
        <v>1</v>
      </c>
      <c r="R112" s="20">
        <f>SUM(Q112:Q130)</f>
        <v>19</v>
      </c>
    </row>
    <row r="113" spans="1:18" ht="20.100000000000001" customHeight="1">
      <c r="A113" s="7">
        <v>108</v>
      </c>
      <c r="B113" s="8">
        <v>3204252009</v>
      </c>
      <c r="C113" s="9" t="s">
        <v>230</v>
      </c>
      <c r="D113" s="10" t="s">
        <v>22</v>
      </c>
      <c r="E113" s="11" t="s">
        <v>640</v>
      </c>
      <c r="F113" s="11" t="s">
        <v>641</v>
      </c>
      <c r="G113" s="9" t="s">
        <v>642</v>
      </c>
      <c r="H113" s="9" t="s">
        <v>639</v>
      </c>
      <c r="I113" s="9" t="s">
        <v>603</v>
      </c>
      <c r="J113" s="9" t="s">
        <v>100</v>
      </c>
      <c r="K113" s="12" t="s">
        <v>19</v>
      </c>
      <c r="L113" s="13" t="s">
        <v>20</v>
      </c>
      <c r="M113" s="12" t="s">
        <v>2604</v>
      </c>
      <c r="N113" s="12" t="s">
        <v>2605</v>
      </c>
      <c r="O113" s="12" t="s">
        <v>2611</v>
      </c>
      <c r="P113" s="14" t="s">
        <v>2607</v>
      </c>
      <c r="Q113">
        <v>1</v>
      </c>
      <c r="R113" s="20"/>
    </row>
    <row r="114" spans="1:18" ht="20.100000000000001" customHeight="1">
      <c r="A114" s="7">
        <v>109</v>
      </c>
      <c r="B114" s="8">
        <v>3204252009</v>
      </c>
      <c r="C114" s="9" t="s">
        <v>36</v>
      </c>
      <c r="D114" s="10" t="s">
        <v>22</v>
      </c>
      <c r="E114" s="11" t="s">
        <v>643</v>
      </c>
      <c r="F114" s="11" t="s">
        <v>644</v>
      </c>
      <c r="G114" s="9" t="s">
        <v>645</v>
      </c>
      <c r="H114" s="9" t="s">
        <v>639</v>
      </c>
      <c r="I114" s="9" t="s">
        <v>603</v>
      </c>
      <c r="J114" s="9" t="s">
        <v>100</v>
      </c>
      <c r="K114" s="12" t="s">
        <v>19</v>
      </c>
      <c r="L114" s="13" t="s">
        <v>20</v>
      </c>
      <c r="M114" s="12" t="s">
        <v>2604</v>
      </c>
      <c r="N114" s="12" t="s">
        <v>2605</v>
      </c>
      <c r="O114" s="12" t="s">
        <v>2611</v>
      </c>
      <c r="P114" s="14" t="s">
        <v>2607</v>
      </c>
      <c r="Q114">
        <v>1</v>
      </c>
      <c r="R114" s="20"/>
    </row>
    <row r="115" spans="1:18" ht="20.100000000000001" customHeight="1">
      <c r="A115" s="7">
        <v>110</v>
      </c>
      <c r="B115" s="8">
        <v>3204252009</v>
      </c>
      <c r="C115" s="9" t="s">
        <v>646</v>
      </c>
      <c r="D115" s="10" t="s">
        <v>18</v>
      </c>
      <c r="E115" s="11" t="s">
        <v>647</v>
      </c>
      <c r="F115" s="11" t="s">
        <v>648</v>
      </c>
      <c r="G115" s="9" t="s">
        <v>649</v>
      </c>
      <c r="H115" s="9" t="s">
        <v>639</v>
      </c>
      <c r="I115" s="9" t="s">
        <v>603</v>
      </c>
      <c r="J115" s="9" t="s">
        <v>100</v>
      </c>
      <c r="K115" s="12" t="s">
        <v>19</v>
      </c>
      <c r="L115" s="13" t="s">
        <v>20</v>
      </c>
      <c r="M115" s="12" t="s">
        <v>2604</v>
      </c>
      <c r="N115" s="12" t="s">
        <v>2605</v>
      </c>
      <c r="O115" s="12" t="s">
        <v>2611</v>
      </c>
      <c r="P115" s="14" t="s">
        <v>2607</v>
      </c>
      <c r="Q115">
        <v>1</v>
      </c>
      <c r="R115" s="20"/>
    </row>
    <row r="116" spans="1:18" ht="20.100000000000001" customHeight="1">
      <c r="A116" s="7">
        <v>111</v>
      </c>
      <c r="B116" s="8">
        <v>3204252009</v>
      </c>
      <c r="C116" s="9" t="s">
        <v>203</v>
      </c>
      <c r="D116" s="10" t="s">
        <v>22</v>
      </c>
      <c r="E116" s="11" t="s">
        <v>650</v>
      </c>
      <c r="F116" s="11" t="s">
        <v>651</v>
      </c>
      <c r="G116" s="9" t="s">
        <v>652</v>
      </c>
      <c r="H116" s="9" t="s">
        <v>639</v>
      </c>
      <c r="I116" s="9" t="s">
        <v>603</v>
      </c>
      <c r="J116" s="9" t="s">
        <v>100</v>
      </c>
      <c r="K116" s="12" t="s">
        <v>19</v>
      </c>
      <c r="L116" s="13" t="s">
        <v>20</v>
      </c>
      <c r="M116" s="12" t="s">
        <v>2604</v>
      </c>
      <c r="N116" s="12" t="s">
        <v>2605</v>
      </c>
      <c r="O116" s="12" t="s">
        <v>2618</v>
      </c>
      <c r="P116" s="14" t="s">
        <v>2610</v>
      </c>
      <c r="Q116">
        <v>1</v>
      </c>
      <c r="R116" s="20"/>
    </row>
    <row r="117" spans="1:18" ht="20.100000000000001" customHeight="1">
      <c r="A117" s="7">
        <v>112</v>
      </c>
      <c r="B117" s="8">
        <v>3204252009</v>
      </c>
      <c r="C117" s="9" t="s">
        <v>653</v>
      </c>
      <c r="D117" s="10" t="s">
        <v>18</v>
      </c>
      <c r="E117" s="11" t="s">
        <v>654</v>
      </c>
      <c r="F117" s="11" t="s">
        <v>655</v>
      </c>
      <c r="G117" s="9" t="s">
        <v>652</v>
      </c>
      <c r="H117" s="9" t="s">
        <v>639</v>
      </c>
      <c r="I117" s="9" t="s">
        <v>603</v>
      </c>
      <c r="J117" s="9" t="s">
        <v>100</v>
      </c>
      <c r="K117" s="12" t="s">
        <v>19</v>
      </c>
      <c r="L117" s="13" t="s">
        <v>20</v>
      </c>
      <c r="M117" s="12" t="s">
        <v>2604</v>
      </c>
      <c r="N117" s="12" t="s">
        <v>2605</v>
      </c>
      <c r="O117" s="12" t="s">
        <v>2606</v>
      </c>
      <c r="P117" s="14" t="s">
        <v>2607</v>
      </c>
      <c r="Q117">
        <v>1</v>
      </c>
      <c r="R117" s="20"/>
    </row>
    <row r="118" spans="1:18" ht="20.100000000000001" customHeight="1">
      <c r="A118" s="7">
        <v>113</v>
      </c>
      <c r="B118" s="8">
        <v>3204252009</v>
      </c>
      <c r="C118" s="9" t="s">
        <v>178</v>
      </c>
      <c r="D118" s="10" t="s">
        <v>22</v>
      </c>
      <c r="E118" s="11" t="s">
        <v>656</v>
      </c>
      <c r="F118" s="11" t="s">
        <v>657</v>
      </c>
      <c r="G118" s="9" t="s">
        <v>658</v>
      </c>
      <c r="H118" s="9" t="s">
        <v>639</v>
      </c>
      <c r="I118" s="9" t="s">
        <v>603</v>
      </c>
      <c r="J118" s="9" t="s">
        <v>100</v>
      </c>
      <c r="K118" s="12" t="s">
        <v>19</v>
      </c>
      <c r="L118" s="13" t="s">
        <v>20</v>
      </c>
      <c r="M118" s="12" t="s">
        <v>2604</v>
      </c>
      <c r="N118" s="12" t="s">
        <v>2605</v>
      </c>
      <c r="O118" s="12" t="s">
        <v>2611</v>
      </c>
      <c r="P118" s="14" t="s">
        <v>2607</v>
      </c>
      <c r="Q118">
        <v>1</v>
      </c>
      <c r="R118" s="20"/>
    </row>
    <row r="119" spans="1:18" ht="20.100000000000001" customHeight="1">
      <c r="A119" s="7">
        <v>114</v>
      </c>
      <c r="B119" s="8">
        <v>3204252009</v>
      </c>
      <c r="C119" s="9" t="s">
        <v>109</v>
      </c>
      <c r="D119" s="10" t="s">
        <v>22</v>
      </c>
      <c r="E119" s="11" t="s">
        <v>659</v>
      </c>
      <c r="F119" s="11" t="s">
        <v>660</v>
      </c>
      <c r="G119" s="9" t="s">
        <v>661</v>
      </c>
      <c r="H119" s="9" t="s">
        <v>639</v>
      </c>
      <c r="I119" s="9" t="s">
        <v>603</v>
      </c>
      <c r="J119" s="9" t="s">
        <v>100</v>
      </c>
      <c r="K119" s="12" t="s">
        <v>19</v>
      </c>
      <c r="L119" s="13" t="s">
        <v>20</v>
      </c>
      <c r="M119" s="12" t="s">
        <v>2604</v>
      </c>
      <c r="N119" s="12" t="s">
        <v>2605</v>
      </c>
      <c r="O119" s="12" t="s">
        <v>2606</v>
      </c>
      <c r="P119" s="14" t="s">
        <v>2607</v>
      </c>
      <c r="Q119">
        <v>1</v>
      </c>
      <c r="R119" s="20"/>
    </row>
    <row r="120" spans="1:18" ht="20.100000000000001" customHeight="1">
      <c r="A120" s="7">
        <v>115</v>
      </c>
      <c r="B120" s="8">
        <v>3204252009</v>
      </c>
      <c r="C120" s="9" t="s">
        <v>662</v>
      </c>
      <c r="D120" s="10" t="s">
        <v>22</v>
      </c>
      <c r="E120" s="11" t="s">
        <v>663</v>
      </c>
      <c r="F120" s="11" t="s">
        <v>664</v>
      </c>
      <c r="G120" s="9" t="s">
        <v>665</v>
      </c>
      <c r="H120" s="9" t="s">
        <v>639</v>
      </c>
      <c r="I120" s="9" t="s">
        <v>603</v>
      </c>
      <c r="J120" s="9" t="s">
        <v>100</v>
      </c>
      <c r="K120" s="12" t="s">
        <v>19</v>
      </c>
      <c r="L120" s="13" t="s">
        <v>20</v>
      </c>
      <c r="M120" s="12" t="s">
        <v>2604</v>
      </c>
      <c r="N120" s="12" t="s">
        <v>2605</v>
      </c>
      <c r="O120" s="12" t="s">
        <v>2611</v>
      </c>
      <c r="P120" s="14" t="s">
        <v>2607</v>
      </c>
      <c r="Q120">
        <v>1</v>
      </c>
      <c r="R120" s="20"/>
    </row>
    <row r="121" spans="1:18" ht="20.100000000000001" customHeight="1">
      <c r="A121" s="7">
        <v>116</v>
      </c>
      <c r="B121" s="8">
        <v>3204252009</v>
      </c>
      <c r="C121" s="9" t="s">
        <v>170</v>
      </c>
      <c r="D121" s="10" t="s">
        <v>18</v>
      </c>
      <c r="E121" s="11" t="s">
        <v>666</v>
      </c>
      <c r="F121" s="11" t="s">
        <v>667</v>
      </c>
      <c r="G121" s="9" t="s">
        <v>665</v>
      </c>
      <c r="H121" s="9" t="s">
        <v>639</v>
      </c>
      <c r="I121" s="9" t="s">
        <v>603</v>
      </c>
      <c r="J121" s="9" t="s">
        <v>100</v>
      </c>
      <c r="K121" s="12" t="s">
        <v>19</v>
      </c>
      <c r="L121" s="13" t="s">
        <v>20</v>
      </c>
      <c r="M121" s="12" t="s">
        <v>2604</v>
      </c>
      <c r="N121" s="12" t="s">
        <v>2605</v>
      </c>
      <c r="O121" s="12" t="s">
        <v>2616</v>
      </c>
      <c r="P121" s="14" t="s">
        <v>2607</v>
      </c>
      <c r="Q121">
        <v>1</v>
      </c>
      <c r="R121" s="20"/>
    </row>
    <row r="122" spans="1:18" ht="20.100000000000001" customHeight="1">
      <c r="A122" s="7">
        <v>117</v>
      </c>
      <c r="B122" s="8">
        <v>3204252009</v>
      </c>
      <c r="C122" s="9" t="s">
        <v>668</v>
      </c>
      <c r="D122" s="10" t="s">
        <v>22</v>
      </c>
      <c r="E122" s="11" t="s">
        <v>669</v>
      </c>
      <c r="F122" s="11" t="s">
        <v>670</v>
      </c>
      <c r="G122" s="9" t="s">
        <v>661</v>
      </c>
      <c r="H122" s="9" t="s">
        <v>639</v>
      </c>
      <c r="I122" s="9" t="s">
        <v>603</v>
      </c>
      <c r="J122" s="9" t="s">
        <v>100</v>
      </c>
      <c r="K122" s="12" t="s">
        <v>19</v>
      </c>
      <c r="L122" s="13" t="s">
        <v>20</v>
      </c>
      <c r="M122" s="12" t="s">
        <v>2604</v>
      </c>
      <c r="N122" s="12" t="s">
        <v>2605</v>
      </c>
      <c r="O122" s="12" t="s">
        <v>2611</v>
      </c>
      <c r="P122" s="14" t="s">
        <v>2607</v>
      </c>
      <c r="Q122">
        <v>1</v>
      </c>
      <c r="R122" s="20"/>
    </row>
    <row r="123" spans="1:18" ht="20.100000000000001" customHeight="1">
      <c r="A123" s="7">
        <v>118</v>
      </c>
      <c r="B123" s="8">
        <v>3204252009</v>
      </c>
      <c r="C123" s="9" t="s">
        <v>62</v>
      </c>
      <c r="D123" s="10" t="s">
        <v>18</v>
      </c>
      <c r="E123" s="11" t="s">
        <v>671</v>
      </c>
      <c r="F123" s="11" t="s">
        <v>672</v>
      </c>
      <c r="G123" s="9" t="s">
        <v>665</v>
      </c>
      <c r="H123" s="9" t="s">
        <v>639</v>
      </c>
      <c r="I123" s="9" t="s">
        <v>603</v>
      </c>
      <c r="J123" s="9" t="s">
        <v>100</v>
      </c>
      <c r="K123" s="12" t="s">
        <v>19</v>
      </c>
      <c r="L123" s="13" t="s">
        <v>20</v>
      </c>
      <c r="M123" s="12" t="s">
        <v>2604</v>
      </c>
      <c r="N123" s="12" t="s">
        <v>2605</v>
      </c>
      <c r="O123" s="12" t="s">
        <v>2606</v>
      </c>
      <c r="P123" s="14" t="s">
        <v>2607</v>
      </c>
      <c r="Q123">
        <v>1</v>
      </c>
      <c r="R123" s="20"/>
    </row>
    <row r="124" spans="1:18" ht="20.100000000000001" customHeight="1">
      <c r="A124" s="7">
        <v>119</v>
      </c>
      <c r="B124" s="8">
        <v>3204252009</v>
      </c>
      <c r="C124" s="9" t="s">
        <v>137</v>
      </c>
      <c r="D124" s="10" t="s">
        <v>22</v>
      </c>
      <c r="E124" s="11" t="s">
        <v>673</v>
      </c>
      <c r="F124" s="11" t="s">
        <v>674</v>
      </c>
      <c r="G124" s="9" t="s">
        <v>675</v>
      </c>
      <c r="H124" s="9" t="s">
        <v>639</v>
      </c>
      <c r="I124" s="9" t="s">
        <v>603</v>
      </c>
      <c r="J124" s="9" t="s">
        <v>100</v>
      </c>
      <c r="K124" s="12" t="s">
        <v>19</v>
      </c>
      <c r="L124" s="13" t="s">
        <v>20</v>
      </c>
      <c r="M124" s="12" t="s">
        <v>2604</v>
      </c>
      <c r="N124" s="12" t="s">
        <v>2605</v>
      </c>
      <c r="O124" s="12" t="s">
        <v>2611</v>
      </c>
      <c r="P124" s="14" t="s">
        <v>2607</v>
      </c>
      <c r="Q124">
        <v>1</v>
      </c>
      <c r="R124" s="20"/>
    </row>
    <row r="125" spans="1:18" ht="20.100000000000001" customHeight="1">
      <c r="A125" s="7">
        <v>120</v>
      </c>
      <c r="B125" s="8">
        <v>3204252009</v>
      </c>
      <c r="C125" s="9" t="s">
        <v>208</v>
      </c>
      <c r="D125" s="10" t="s">
        <v>22</v>
      </c>
      <c r="E125" s="11" t="s">
        <v>676</v>
      </c>
      <c r="F125" s="11" t="s">
        <v>677</v>
      </c>
      <c r="G125" s="9" t="s">
        <v>678</v>
      </c>
      <c r="H125" s="9" t="s">
        <v>639</v>
      </c>
      <c r="I125" s="9" t="s">
        <v>603</v>
      </c>
      <c r="J125" s="9" t="s">
        <v>100</v>
      </c>
      <c r="K125" s="12" t="s">
        <v>19</v>
      </c>
      <c r="L125" s="13" t="s">
        <v>20</v>
      </c>
      <c r="M125" s="12" t="s">
        <v>2604</v>
      </c>
      <c r="N125" s="12" t="s">
        <v>2605</v>
      </c>
      <c r="O125" s="12" t="s">
        <v>2611</v>
      </c>
      <c r="P125" s="14" t="s">
        <v>2607</v>
      </c>
      <c r="Q125">
        <v>1</v>
      </c>
      <c r="R125" s="20"/>
    </row>
    <row r="126" spans="1:18" ht="20.100000000000001" customHeight="1">
      <c r="A126" s="7">
        <v>121</v>
      </c>
      <c r="B126" s="8">
        <v>3204252009</v>
      </c>
      <c r="C126" s="9" t="s">
        <v>221</v>
      </c>
      <c r="D126" s="10" t="s">
        <v>22</v>
      </c>
      <c r="E126" s="11" t="s">
        <v>679</v>
      </c>
      <c r="F126" s="11" t="s">
        <v>680</v>
      </c>
      <c r="G126" s="9" t="s">
        <v>678</v>
      </c>
      <c r="H126" s="9" t="s">
        <v>639</v>
      </c>
      <c r="I126" s="9" t="s">
        <v>603</v>
      </c>
      <c r="J126" s="9" t="s">
        <v>100</v>
      </c>
      <c r="K126" s="12" t="s">
        <v>19</v>
      </c>
      <c r="L126" s="13" t="s">
        <v>20</v>
      </c>
      <c r="M126" s="12" t="s">
        <v>2604</v>
      </c>
      <c r="N126" s="12" t="s">
        <v>2605</v>
      </c>
      <c r="O126" s="12" t="s">
        <v>2606</v>
      </c>
      <c r="P126" s="14" t="s">
        <v>2607</v>
      </c>
      <c r="Q126">
        <v>1</v>
      </c>
      <c r="R126" s="20"/>
    </row>
    <row r="127" spans="1:18" ht="20.100000000000001" customHeight="1">
      <c r="A127" s="7">
        <v>122</v>
      </c>
      <c r="B127" s="8">
        <v>3204252009</v>
      </c>
      <c r="C127" s="9" t="s">
        <v>681</v>
      </c>
      <c r="D127" s="10" t="s">
        <v>22</v>
      </c>
      <c r="E127" s="11" t="s">
        <v>682</v>
      </c>
      <c r="F127" s="11" t="s">
        <v>683</v>
      </c>
      <c r="G127" s="9" t="s">
        <v>678</v>
      </c>
      <c r="H127" s="9" t="s">
        <v>639</v>
      </c>
      <c r="I127" s="9" t="s">
        <v>603</v>
      </c>
      <c r="J127" s="9" t="s">
        <v>100</v>
      </c>
      <c r="K127" s="12" t="s">
        <v>19</v>
      </c>
      <c r="L127" s="13" t="s">
        <v>20</v>
      </c>
      <c r="M127" s="12" t="s">
        <v>2604</v>
      </c>
      <c r="N127" s="12" t="s">
        <v>2605</v>
      </c>
      <c r="O127" s="12" t="s">
        <v>2608</v>
      </c>
      <c r="P127" s="14" t="s">
        <v>2607</v>
      </c>
      <c r="Q127">
        <v>1</v>
      </c>
      <c r="R127" s="20"/>
    </row>
    <row r="128" spans="1:18" ht="20.100000000000001" customHeight="1">
      <c r="A128" s="7">
        <v>123</v>
      </c>
      <c r="B128" s="8">
        <v>3204252009</v>
      </c>
      <c r="C128" s="9" t="s">
        <v>684</v>
      </c>
      <c r="D128" s="10" t="s">
        <v>22</v>
      </c>
      <c r="E128" s="11" t="s">
        <v>685</v>
      </c>
      <c r="F128" s="11" t="s">
        <v>686</v>
      </c>
      <c r="G128" s="9" t="s">
        <v>687</v>
      </c>
      <c r="H128" s="9" t="s">
        <v>639</v>
      </c>
      <c r="I128" s="9" t="s">
        <v>603</v>
      </c>
      <c r="J128" s="9" t="s">
        <v>100</v>
      </c>
      <c r="K128" s="12" t="s">
        <v>19</v>
      </c>
      <c r="L128" s="13" t="s">
        <v>20</v>
      </c>
      <c r="M128" s="12" t="s">
        <v>2604</v>
      </c>
      <c r="N128" s="12" t="s">
        <v>2605</v>
      </c>
      <c r="O128" s="12" t="s">
        <v>2606</v>
      </c>
      <c r="P128" s="14" t="s">
        <v>2607</v>
      </c>
      <c r="Q128">
        <v>1</v>
      </c>
      <c r="R128" s="20"/>
    </row>
    <row r="129" spans="1:18" ht="20.100000000000001" customHeight="1">
      <c r="A129" s="7">
        <v>124</v>
      </c>
      <c r="B129" s="8">
        <v>3204252009</v>
      </c>
      <c r="C129" s="9" t="s">
        <v>688</v>
      </c>
      <c r="D129" s="10" t="s">
        <v>22</v>
      </c>
      <c r="E129" s="11" t="s">
        <v>689</v>
      </c>
      <c r="F129" s="11" t="s">
        <v>690</v>
      </c>
      <c r="G129" s="9" t="s">
        <v>675</v>
      </c>
      <c r="H129" s="9" t="s">
        <v>639</v>
      </c>
      <c r="I129" s="9" t="s">
        <v>603</v>
      </c>
      <c r="J129" s="9" t="s">
        <v>100</v>
      </c>
      <c r="K129" s="12" t="s">
        <v>19</v>
      </c>
      <c r="L129" s="13" t="s">
        <v>20</v>
      </c>
      <c r="M129" s="12" t="s">
        <v>2604</v>
      </c>
      <c r="N129" s="12" t="s">
        <v>2605</v>
      </c>
      <c r="O129" s="12" t="s">
        <v>2616</v>
      </c>
      <c r="P129" s="14" t="s">
        <v>2607</v>
      </c>
      <c r="Q129">
        <v>1</v>
      </c>
      <c r="R129" s="20"/>
    </row>
    <row r="130" spans="1:18" ht="20.100000000000001" customHeight="1">
      <c r="A130" s="7">
        <v>125</v>
      </c>
      <c r="B130" s="8">
        <v>3204252009</v>
      </c>
      <c r="C130" s="9" t="s">
        <v>49</v>
      </c>
      <c r="D130" s="10" t="s">
        <v>22</v>
      </c>
      <c r="E130" s="11" t="s">
        <v>691</v>
      </c>
      <c r="F130" s="11" t="s">
        <v>692</v>
      </c>
      <c r="G130" s="9" t="s">
        <v>678</v>
      </c>
      <c r="H130" s="9" t="s">
        <v>639</v>
      </c>
      <c r="I130" s="9" t="s">
        <v>603</v>
      </c>
      <c r="J130" s="9" t="s">
        <v>100</v>
      </c>
      <c r="K130" s="12" t="s">
        <v>19</v>
      </c>
      <c r="L130" s="13" t="s">
        <v>20</v>
      </c>
      <c r="M130" s="12" t="s">
        <v>2604</v>
      </c>
      <c r="N130" s="12" t="s">
        <v>2605</v>
      </c>
      <c r="O130" s="12" t="s">
        <v>2611</v>
      </c>
      <c r="P130" s="14" t="s">
        <v>2607</v>
      </c>
      <c r="Q130">
        <v>1</v>
      </c>
      <c r="R130" s="20"/>
    </row>
    <row r="131" spans="1:18" ht="20.100000000000001" customHeight="1">
      <c r="A131" s="7">
        <v>126</v>
      </c>
      <c r="B131" s="8">
        <v>3204272004</v>
      </c>
      <c r="C131" s="9" t="s">
        <v>119</v>
      </c>
      <c r="D131" s="10" t="s">
        <v>22</v>
      </c>
      <c r="E131" s="11" t="s">
        <v>693</v>
      </c>
      <c r="F131" s="11" t="s">
        <v>694</v>
      </c>
      <c r="G131" s="9" t="s">
        <v>695</v>
      </c>
      <c r="H131" s="9" t="s">
        <v>696</v>
      </c>
      <c r="I131" s="9" t="s">
        <v>697</v>
      </c>
      <c r="J131" s="9" t="s">
        <v>100</v>
      </c>
      <c r="K131" s="12" t="s">
        <v>19</v>
      </c>
      <c r="L131" s="13" t="s">
        <v>20</v>
      </c>
      <c r="M131" s="12" t="s">
        <v>2604</v>
      </c>
      <c r="N131" s="12" t="s">
        <v>2605</v>
      </c>
      <c r="O131" s="12" t="s">
        <v>2618</v>
      </c>
      <c r="P131" s="14" t="s">
        <v>2610</v>
      </c>
      <c r="Q131">
        <v>1</v>
      </c>
      <c r="R131" s="20">
        <f>SUM(Q131:Q150)</f>
        <v>20</v>
      </c>
    </row>
    <row r="132" spans="1:18" ht="20.100000000000001" customHeight="1">
      <c r="A132" s="7">
        <v>127</v>
      </c>
      <c r="B132" s="8">
        <v>3204272004</v>
      </c>
      <c r="C132" s="9" t="s">
        <v>698</v>
      </c>
      <c r="D132" s="10" t="s">
        <v>22</v>
      </c>
      <c r="E132" s="11" t="s">
        <v>699</v>
      </c>
      <c r="F132" s="11" t="s">
        <v>700</v>
      </c>
      <c r="G132" s="9" t="s">
        <v>701</v>
      </c>
      <c r="H132" s="9" t="s">
        <v>696</v>
      </c>
      <c r="I132" s="9" t="s">
        <v>697</v>
      </c>
      <c r="J132" s="9" t="s">
        <v>100</v>
      </c>
      <c r="K132" s="12" t="s">
        <v>19</v>
      </c>
      <c r="L132" s="13" t="s">
        <v>20</v>
      </c>
      <c r="M132" s="12" t="s">
        <v>2604</v>
      </c>
      <c r="N132" s="12" t="s">
        <v>2605</v>
      </c>
      <c r="O132" s="12" t="s">
        <v>2616</v>
      </c>
      <c r="P132" s="14" t="s">
        <v>2607</v>
      </c>
      <c r="Q132">
        <v>1</v>
      </c>
      <c r="R132" s="20"/>
    </row>
    <row r="133" spans="1:18" ht="20.100000000000001" customHeight="1">
      <c r="A133" s="7">
        <v>128</v>
      </c>
      <c r="B133" s="8">
        <v>3204272004</v>
      </c>
      <c r="C133" s="9" t="s">
        <v>702</v>
      </c>
      <c r="D133" s="10" t="s">
        <v>18</v>
      </c>
      <c r="E133" s="11" t="s">
        <v>703</v>
      </c>
      <c r="F133" s="11" t="s">
        <v>704</v>
      </c>
      <c r="G133" s="9" t="s">
        <v>701</v>
      </c>
      <c r="H133" s="9" t="s">
        <v>696</v>
      </c>
      <c r="I133" s="9" t="s">
        <v>697</v>
      </c>
      <c r="J133" s="9" t="s">
        <v>100</v>
      </c>
      <c r="K133" s="12" t="s">
        <v>19</v>
      </c>
      <c r="L133" s="13" t="s">
        <v>20</v>
      </c>
      <c r="M133" s="12" t="s">
        <v>2604</v>
      </c>
      <c r="N133" s="12" t="s">
        <v>2605</v>
      </c>
      <c r="O133" s="12" t="s">
        <v>2616</v>
      </c>
      <c r="P133" s="14" t="s">
        <v>2607</v>
      </c>
      <c r="Q133">
        <v>1</v>
      </c>
      <c r="R133" s="20"/>
    </row>
    <row r="134" spans="1:18" ht="20.100000000000001" customHeight="1">
      <c r="A134" s="7">
        <v>129</v>
      </c>
      <c r="B134" s="8">
        <v>3204272004</v>
      </c>
      <c r="C134" s="9" t="s">
        <v>705</v>
      </c>
      <c r="D134" s="10" t="s">
        <v>22</v>
      </c>
      <c r="E134" s="11" t="s">
        <v>706</v>
      </c>
      <c r="F134" s="11" t="s">
        <v>707</v>
      </c>
      <c r="G134" s="9" t="s">
        <v>708</v>
      </c>
      <c r="H134" s="9" t="s">
        <v>696</v>
      </c>
      <c r="I134" s="9" t="s">
        <v>697</v>
      </c>
      <c r="J134" s="9" t="s">
        <v>100</v>
      </c>
      <c r="K134" s="12" t="s">
        <v>19</v>
      </c>
      <c r="L134" s="13" t="s">
        <v>20</v>
      </c>
      <c r="M134" s="12" t="s">
        <v>2604</v>
      </c>
      <c r="N134" s="12" t="s">
        <v>2605</v>
      </c>
      <c r="O134" s="12" t="s">
        <v>2608</v>
      </c>
      <c r="P134" s="14" t="s">
        <v>2607</v>
      </c>
      <c r="Q134">
        <v>1</v>
      </c>
      <c r="R134" s="20"/>
    </row>
    <row r="135" spans="1:18" ht="20.100000000000001" customHeight="1">
      <c r="A135" s="7">
        <v>130</v>
      </c>
      <c r="B135" s="8">
        <v>3204272004</v>
      </c>
      <c r="C135" s="9" t="s">
        <v>709</v>
      </c>
      <c r="D135" s="10" t="s">
        <v>18</v>
      </c>
      <c r="E135" s="11" t="s">
        <v>710</v>
      </c>
      <c r="F135" s="11" t="s">
        <v>711</v>
      </c>
      <c r="G135" s="9" t="s">
        <v>712</v>
      </c>
      <c r="H135" s="9" t="s">
        <v>696</v>
      </c>
      <c r="I135" s="9" t="s">
        <v>697</v>
      </c>
      <c r="J135" s="9" t="s">
        <v>100</v>
      </c>
      <c r="K135" s="12" t="s">
        <v>19</v>
      </c>
      <c r="L135" s="13" t="s">
        <v>20</v>
      </c>
      <c r="M135" s="12" t="s">
        <v>2604</v>
      </c>
      <c r="N135" s="12" t="s">
        <v>2605</v>
      </c>
      <c r="O135" s="12" t="s">
        <v>2622</v>
      </c>
      <c r="P135" s="14" t="s">
        <v>2607</v>
      </c>
      <c r="Q135">
        <v>1</v>
      </c>
      <c r="R135" s="20"/>
    </row>
    <row r="136" spans="1:18" ht="20.100000000000001" customHeight="1">
      <c r="A136" s="7">
        <v>131</v>
      </c>
      <c r="B136" s="8">
        <v>3204272004</v>
      </c>
      <c r="C136" s="9" t="s">
        <v>713</v>
      </c>
      <c r="D136" s="10" t="s">
        <v>18</v>
      </c>
      <c r="E136" s="11" t="s">
        <v>714</v>
      </c>
      <c r="F136" s="11" t="s">
        <v>715</v>
      </c>
      <c r="G136" s="9" t="s">
        <v>712</v>
      </c>
      <c r="H136" s="9" t="s">
        <v>696</v>
      </c>
      <c r="I136" s="9" t="s">
        <v>697</v>
      </c>
      <c r="J136" s="9" t="s">
        <v>100</v>
      </c>
      <c r="K136" s="12" t="s">
        <v>19</v>
      </c>
      <c r="L136" s="13" t="s">
        <v>20</v>
      </c>
      <c r="M136" s="12" t="s">
        <v>2604</v>
      </c>
      <c r="N136" s="12" t="s">
        <v>2605</v>
      </c>
      <c r="O136" s="12" t="s">
        <v>2627</v>
      </c>
      <c r="P136" s="14" t="s">
        <v>2610</v>
      </c>
      <c r="Q136">
        <v>1</v>
      </c>
      <c r="R136" s="20"/>
    </row>
    <row r="137" spans="1:18" ht="20.100000000000001" customHeight="1">
      <c r="A137" s="7">
        <v>132</v>
      </c>
      <c r="B137" s="8">
        <v>3204272004</v>
      </c>
      <c r="C137" s="9" t="s">
        <v>209</v>
      </c>
      <c r="D137" s="10" t="s">
        <v>18</v>
      </c>
      <c r="E137" s="11" t="s">
        <v>716</v>
      </c>
      <c r="F137" s="11" t="s">
        <v>717</v>
      </c>
      <c r="G137" s="9" t="s">
        <v>695</v>
      </c>
      <c r="H137" s="9" t="s">
        <v>696</v>
      </c>
      <c r="I137" s="9" t="s">
        <v>697</v>
      </c>
      <c r="J137" s="9" t="s">
        <v>100</v>
      </c>
      <c r="K137" s="12" t="s">
        <v>19</v>
      </c>
      <c r="L137" s="13" t="s">
        <v>20</v>
      </c>
      <c r="M137" s="12" t="s">
        <v>2604</v>
      </c>
      <c r="N137" s="12" t="s">
        <v>2605</v>
      </c>
      <c r="O137" s="12" t="s">
        <v>2628</v>
      </c>
      <c r="P137" s="14" t="s">
        <v>2615</v>
      </c>
      <c r="Q137">
        <v>1</v>
      </c>
      <c r="R137" s="20"/>
    </row>
    <row r="138" spans="1:18" ht="20.100000000000001" customHeight="1">
      <c r="A138" s="7">
        <v>133</v>
      </c>
      <c r="B138" s="8">
        <v>3204272004</v>
      </c>
      <c r="C138" s="9" t="s">
        <v>146</v>
      </c>
      <c r="D138" s="10" t="s">
        <v>18</v>
      </c>
      <c r="E138" s="11" t="s">
        <v>718</v>
      </c>
      <c r="F138" s="11" t="s">
        <v>719</v>
      </c>
      <c r="G138" s="9" t="s">
        <v>720</v>
      </c>
      <c r="H138" s="9" t="s">
        <v>696</v>
      </c>
      <c r="I138" s="9" t="s">
        <v>697</v>
      </c>
      <c r="J138" s="9" t="s">
        <v>100</v>
      </c>
      <c r="K138" s="12" t="s">
        <v>19</v>
      </c>
      <c r="L138" s="13" t="s">
        <v>20</v>
      </c>
      <c r="M138" s="12" t="s">
        <v>2604</v>
      </c>
      <c r="N138" s="12" t="s">
        <v>2605</v>
      </c>
      <c r="O138" s="12" t="s">
        <v>2611</v>
      </c>
      <c r="P138" s="14" t="s">
        <v>2607</v>
      </c>
      <c r="Q138">
        <v>1</v>
      </c>
      <c r="R138" s="20"/>
    </row>
    <row r="139" spans="1:18" ht="20.100000000000001" customHeight="1">
      <c r="A139" s="7">
        <v>134</v>
      </c>
      <c r="B139" s="8">
        <v>3204272004</v>
      </c>
      <c r="C139" s="9" t="s">
        <v>721</v>
      </c>
      <c r="D139" s="10" t="s">
        <v>18</v>
      </c>
      <c r="E139" s="11" t="s">
        <v>722</v>
      </c>
      <c r="F139" s="11" t="s">
        <v>723</v>
      </c>
      <c r="G139" s="9" t="s">
        <v>708</v>
      </c>
      <c r="H139" s="9" t="s">
        <v>696</v>
      </c>
      <c r="I139" s="9" t="s">
        <v>697</v>
      </c>
      <c r="J139" s="9" t="s">
        <v>100</v>
      </c>
      <c r="K139" s="12" t="s">
        <v>19</v>
      </c>
      <c r="L139" s="13" t="s">
        <v>20</v>
      </c>
      <c r="M139" s="12" t="s">
        <v>2604</v>
      </c>
      <c r="N139" s="12" t="s">
        <v>2605</v>
      </c>
      <c r="O139" s="12" t="s">
        <v>2611</v>
      </c>
      <c r="P139" s="14" t="s">
        <v>2607</v>
      </c>
      <c r="Q139">
        <v>1</v>
      </c>
      <c r="R139" s="20"/>
    </row>
    <row r="140" spans="1:18" ht="20.100000000000001" customHeight="1">
      <c r="A140" s="7">
        <v>135</v>
      </c>
      <c r="B140" s="8">
        <v>3204272004</v>
      </c>
      <c r="C140" s="9" t="s">
        <v>98</v>
      </c>
      <c r="D140" s="10" t="s">
        <v>22</v>
      </c>
      <c r="E140" s="11" t="s">
        <v>724</v>
      </c>
      <c r="F140" s="11" t="s">
        <v>725</v>
      </c>
      <c r="G140" s="9" t="s">
        <v>726</v>
      </c>
      <c r="H140" s="9" t="s">
        <v>696</v>
      </c>
      <c r="I140" s="9" t="s">
        <v>697</v>
      </c>
      <c r="J140" s="9" t="s">
        <v>100</v>
      </c>
      <c r="K140" s="12" t="s">
        <v>19</v>
      </c>
      <c r="L140" s="13" t="s">
        <v>20</v>
      </c>
      <c r="M140" s="12" t="s">
        <v>2604</v>
      </c>
      <c r="N140" s="12" t="s">
        <v>2605</v>
      </c>
      <c r="O140" s="12" t="s">
        <v>2611</v>
      </c>
      <c r="P140" s="14" t="s">
        <v>2607</v>
      </c>
      <c r="Q140">
        <v>1</v>
      </c>
      <c r="R140" s="20"/>
    </row>
    <row r="141" spans="1:18" ht="20.100000000000001" customHeight="1">
      <c r="A141" s="7">
        <v>136</v>
      </c>
      <c r="B141" s="8">
        <v>3204272004</v>
      </c>
      <c r="C141" s="9" t="s">
        <v>727</v>
      </c>
      <c r="D141" s="10" t="s">
        <v>18</v>
      </c>
      <c r="E141" s="11" t="s">
        <v>728</v>
      </c>
      <c r="F141" s="11" t="s">
        <v>729</v>
      </c>
      <c r="G141" s="9" t="s">
        <v>726</v>
      </c>
      <c r="H141" s="9" t="s">
        <v>696</v>
      </c>
      <c r="I141" s="9" t="s">
        <v>697</v>
      </c>
      <c r="J141" s="9" t="s">
        <v>100</v>
      </c>
      <c r="K141" s="12" t="s">
        <v>19</v>
      </c>
      <c r="L141" s="13" t="s">
        <v>20</v>
      </c>
      <c r="M141" s="12" t="s">
        <v>2604</v>
      </c>
      <c r="N141" s="12" t="s">
        <v>2605</v>
      </c>
      <c r="O141" s="12" t="s">
        <v>2616</v>
      </c>
      <c r="P141" s="14" t="s">
        <v>2607</v>
      </c>
      <c r="Q141">
        <v>1</v>
      </c>
      <c r="R141" s="20"/>
    </row>
    <row r="142" spans="1:18" ht="20.100000000000001" customHeight="1">
      <c r="A142" s="7">
        <v>137</v>
      </c>
      <c r="B142" s="8">
        <v>3204272004</v>
      </c>
      <c r="C142" s="9" t="s">
        <v>730</v>
      </c>
      <c r="D142" s="10" t="s">
        <v>22</v>
      </c>
      <c r="E142" s="11" t="s">
        <v>731</v>
      </c>
      <c r="F142" s="11" t="s">
        <v>732</v>
      </c>
      <c r="G142" s="9" t="s">
        <v>733</v>
      </c>
      <c r="H142" s="9" t="s">
        <v>696</v>
      </c>
      <c r="I142" s="9" t="s">
        <v>697</v>
      </c>
      <c r="J142" s="9" t="s">
        <v>100</v>
      </c>
      <c r="K142" s="12" t="s">
        <v>19</v>
      </c>
      <c r="L142" s="13" t="s">
        <v>20</v>
      </c>
      <c r="M142" s="12" t="s">
        <v>2604</v>
      </c>
      <c r="N142" s="12" t="s">
        <v>2605</v>
      </c>
      <c r="O142" s="12" t="s">
        <v>2606</v>
      </c>
      <c r="P142" s="14" t="s">
        <v>2607</v>
      </c>
      <c r="Q142">
        <v>1</v>
      </c>
      <c r="R142" s="20"/>
    </row>
    <row r="143" spans="1:18" ht="20.100000000000001" customHeight="1">
      <c r="A143" s="7">
        <v>138</v>
      </c>
      <c r="B143" s="8">
        <v>3204272004</v>
      </c>
      <c r="C143" s="9" t="s">
        <v>90</v>
      </c>
      <c r="D143" s="10" t="s">
        <v>22</v>
      </c>
      <c r="E143" s="11" t="s">
        <v>734</v>
      </c>
      <c r="F143" s="11" t="s">
        <v>735</v>
      </c>
      <c r="G143" s="9" t="s">
        <v>733</v>
      </c>
      <c r="H143" s="9" t="s">
        <v>696</v>
      </c>
      <c r="I143" s="9" t="s">
        <v>697</v>
      </c>
      <c r="J143" s="9" t="s">
        <v>100</v>
      </c>
      <c r="K143" s="12" t="s">
        <v>19</v>
      </c>
      <c r="L143" s="13" t="s">
        <v>20</v>
      </c>
      <c r="M143" s="12" t="s">
        <v>2604</v>
      </c>
      <c r="N143" s="12" t="s">
        <v>2605</v>
      </c>
      <c r="O143" s="12" t="s">
        <v>2611</v>
      </c>
      <c r="P143" s="14" t="s">
        <v>2607</v>
      </c>
      <c r="Q143">
        <v>1</v>
      </c>
      <c r="R143" s="20"/>
    </row>
    <row r="144" spans="1:18" ht="20.100000000000001" customHeight="1">
      <c r="A144" s="7">
        <v>139</v>
      </c>
      <c r="B144" s="8">
        <v>3204272004</v>
      </c>
      <c r="C144" s="9" t="s">
        <v>736</v>
      </c>
      <c r="D144" s="10" t="s">
        <v>22</v>
      </c>
      <c r="E144" s="11" t="s">
        <v>737</v>
      </c>
      <c r="F144" s="11" t="s">
        <v>738</v>
      </c>
      <c r="G144" s="9" t="s">
        <v>695</v>
      </c>
      <c r="H144" s="9" t="s">
        <v>696</v>
      </c>
      <c r="I144" s="9" t="s">
        <v>697</v>
      </c>
      <c r="J144" s="9" t="s">
        <v>100</v>
      </c>
      <c r="K144" s="12" t="s">
        <v>19</v>
      </c>
      <c r="L144" s="13" t="s">
        <v>20</v>
      </c>
      <c r="M144" s="12" t="s">
        <v>2604</v>
      </c>
      <c r="N144" s="12" t="s">
        <v>2605</v>
      </c>
      <c r="O144" s="12" t="s">
        <v>2623</v>
      </c>
      <c r="P144" s="14" t="s">
        <v>2615</v>
      </c>
      <c r="Q144">
        <v>1</v>
      </c>
      <c r="R144" s="20"/>
    </row>
    <row r="145" spans="1:18" ht="20.100000000000001" customHeight="1">
      <c r="A145" s="7">
        <v>140</v>
      </c>
      <c r="B145" s="8">
        <v>3204272004</v>
      </c>
      <c r="C145" s="9" t="s">
        <v>739</v>
      </c>
      <c r="D145" s="10" t="s">
        <v>18</v>
      </c>
      <c r="E145" s="11" t="s">
        <v>740</v>
      </c>
      <c r="F145" s="11" t="s">
        <v>741</v>
      </c>
      <c r="G145" s="9" t="s">
        <v>726</v>
      </c>
      <c r="H145" s="9" t="s">
        <v>696</v>
      </c>
      <c r="I145" s="9" t="s">
        <v>697</v>
      </c>
      <c r="J145" s="9" t="s">
        <v>100</v>
      </c>
      <c r="K145" s="12" t="s">
        <v>19</v>
      </c>
      <c r="L145" s="13" t="s">
        <v>20</v>
      </c>
      <c r="M145" s="12" t="s">
        <v>2604</v>
      </c>
      <c r="N145" s="12" t="s">
        <v>2605</v>
      </c>
      <c r="O145" s="12" t="s">
        <v>2616</v>
      </c>
      <c r="P145" s="14" t="s">
        <v>2607</v>
      </c>
      <c r="Q145">
        <v>1</v>
      </c>
      <c r="R145" s="20"/>
    </row>
    <row r="146" spans="1:18" ht="20.100000000000001" customHeight="1">
      <c r="A146" s="7">
        <v>141</v>
      </c>
      <c r="B146" s="8">
        <v>3204272004</v>
      </c>
      <c r="C146" s="9" t="s">
        <v>155</v>
      </c>
      <c r="D146" s="10" t="s">
        <v>18</v>
      </c>
      <c r="E146" s="11" t="s">
        <v>742</v>
      </c>
      <c r="F146" s="11" t="s">
        <v>743</v>
      </c>
      <c r="G146" s="9" t="s">
        <v>695</v>
      </c>
      <c r="H146" s="9" t="s">
        <v>696</v>
      </c>
      <c r="I146" s="9" t="s">
        <v>697</v>
      </c>
      <c r="J146" s="9" t="s">
        <v>100</v>
      </c>
      <c r="K146" s="12" t="s">
        <v>19</v>
      </c>
      <c r="L146" s="13" t="s">
        <v>20</v>
      </c>
      <c r="M146" s="12" t="s">
        <v>2604</v>
      </c>
      <c r="N146" s="12" t="s">
        <v>2605</v>
      </c>
      <c r="O146" s="12" t="s">
        <v>2622</v>
      </c>
      <c r="P146" s="14" t="s">
        <v>2607</v>
      </c>
      <c r="Q146">
        <v>1</v>
      </c>
      <c r="R146" s="20"/>
    </row>
    <row r="147" spans="1:18" ht="20.100000000000001" customHeight="1">
      <c r="A147" s="7">
        <v>142</v>
      </c>
      <c r="B147" s="8">
        <v>3204272004</v>
      </c>
      <c r="C147" s="9" t="s">
        <v>744</v>
      </c>
      <c r="D147" s="10" t="s">
        <v>22</v>
      </c>
      <c r="E147" s="11" t="s">
        <v>745</v>
      </c>
      <c r="F147" s="11" t="s">
        <v>746</v>
      </c>
      <c r="G147" s="9" t="s">
        <v>712</v>
      </c>
      <c r="H147" s="9" t="s">
        <v>696</v>
      </c>
      <c r="I147" s="9" t="s">
        <v>697</v>
      </c>
      <c r="J147" s="9" t="s">
        <v>100</v>
      </c>
      <c r="K147" s="12" t="s">
        <v>19</v>
      </c>
      <c r="L147" s="13" t="s">
        <v>20</v>
      </c>
      <c r="M147" s="12" t="s">
        <v>2604</v>
      </c>
      <c r="N147" s="12" t="s">
        <v>2605</v>
      </c>
      <c r="O147" s="12" t="s">
        <v>2616</v>
      </c>
      <c r="P147" s="14" t="s">
        <v>2607</v>
      </c>
      <c r="Q147">
        <v>1</v>
      </c>
      <c r="R147" s="20"/>
    </row>
    <row r="148" spans="1:18" ht="20.100000000000001" customHeight="1">
      <c r="A148" s="7">
        <v>143</v>
      </c>
      <c r="B148" s="8">
        <v>3204272004</v>
      </c>
      <c r="C148" s="9" t="s">
        <v>67</v>
      </c>
      <c r="D148" s="10" t="s">
        <v>18</v>
      </c>
      <c r="E148" s="11" t="s">
        <v>747</v>
      </c>
      <c r="F148" s="11" t="s">
        <v>748</v>
      </c>
      <c r="G148" s="9" t="s">
        <v>749</v>
      </c>
      <c r="H148" s="9" t="s">
        <v>696</v>
      </c>
      <c r="I148" s="9" t="s">
        <v>697</v>
      </c>
      <c r="J148" s="9" t="s">
        <v>100</v>
      </c>
      <c r="K148" s="12" t="s">
        <v>19</v>
      </c>
      <c r="L148" s="13" t="s">
        <v>20</v>
      </c>
      <c r="M148" s="12" t="s">
        <v>2604</v>
      </c>
      <c r="N148" s="12" t="s">
        <v>2605</v>
      </c>
      <c r="O148" s="12" t="s">
        <v>2606</v>
      </c>
      <c r="P148" s="14" t="s">
        <v>2607</v>
      </c>
      <c r="Q148">
        <v>1</v>
      </c>
      <c r="R148" s="20"/>
    </row>
    <row r="149" spans="1:18" ht="20.100000000000001" customHeight="1">
      <c r="A149" s="7">
        <v>144</v>
      </c>
      <c r="B149" s="8">
        <v>3204272004</v>
      </c>
      <c r="C149" s="9" t="s">
        <v>750</v>
      </c>
      <c r="D149" s="10" t="s">
        <v>22</v>
      </c>
      <c r="E149" s="11" t="s">
        <v>751</v>
      </c>
      <c r="F149" s="11" t="s">
        <v>752</v>
      </c>
      <c r="G149" s="9" t="s">
        <v>753</v>
      </c>
      <c r="H149" s="9" t="s">
        <v>696</v>
      </c>
      <c r="I149" s="9" t="s">
        <v>697</v>
      </c>
      <c r="J149" s="9" t="s">
        <v>100</v>
      </c>
      <c r="K149" s="12" t="s">
        <v>19</v>
      </c>
      <c r="L149" s="13" t="s">
        <v>20</v>
      </c>
      <c r="M149" s="12" t="s">
        <v>2604</v>
      </c>
      <c r="N149" s="12" t="s">
        <v>2605</v>
      </c>
      <c r="O149" s="12" t="s">
        <v>2606</v>
      </c>
      <c r="P149" s="14" t="s">
        <v>2607</v>
      </c>
      <c r="Q149">
        <v>1</v>
      </c>
      <c r="R149" s="20"/>
    </row>
    <row r="150" spans="1:18" ht="20.100000000000001" customHeight="1">
      <c r="A150" s="7">
        <v>145</v>
      </c>
      <c r="B150" s="8">
        <v>3204272004</v>
      </c>
      <c r="C150" s="9" t="s">
        <v>754</v>
      </c>
      <c r="D150" s="10" t="s">
        <v>18</v>
      </c>
      <c r="E150" s="11" t="s">
        <v>755</v>
      </c>
      <c r="F150" s="11" t="s">
        <v>756</v>
      </c>
      <c r="G150" s="9" t="s">
        <v>757</v>
      </c>
      <c r="H150" s="9" t="s">
        <v>696</v>
      </c>
      <c r="I150" s="9" t="s">
        <v>697</v>
      </c>
      <c r="J150" s="9" t="s">
        <v>100</v>
      </c>
      <c r="K150" s="12" t="s">
        <v>19</v>
      </c>
      <c r="L150" s="13" t="s">
        <v>20</v>
      </c>
      <c r="M150" s="12" t="s">
        <v>2604</v>
      </c>
      <c r="N150" s="12" t="s">
        <v>2605</v>
      </c>
      <c r="O150" s="12" t="s">
        <v>2606</v>
      </c>
      <c r="P150" s="14" t="s">
        <v>2607</v>
      </c>
      <c r="Q150">
        <v>1</v>
      </c>
      <c r="R150" s="20"/>
    </row>
    <row r="151" spans="1:18" ht="20.100000000000001" customHeight="1">
      <c r="A151" s="7">
        <v>146</v>
      </c>
      <c r="B151" s="8">
        <v>3204272005</v>
      </c>
      <c r="C151" s="9" t="s">
        <v>75</v>
      </c>
      <c r="D151" s="10" t="s">
        <v>22</v>
      </c>
      <c r="E151" s="11" t="s">
        <v>758</v>
      </c>
      <c r="F151" s="11" t="s">
        <v>759</v>
      </c>
      <c r="G151" s="9" t="s">
        <v>760</v>
      </c>
      <c r="H151" s="9" t="s">
        <v>761</v>
      </c>
      <c r="I151" s="9" t="s">
        <v>697</v>
      </c>
      <c r="J151" s="9" t="s">
        <v>100</v>
      </c>
      <c r="K151" s="12" t="s">
        <v>19</v>
      </c>
      <c r="L151" s="13" t="s">
        <v>20</v>
      </c>
      <c r="M151" s="12" t="s">
        <v>2604</v>
      </c>
      <c r="N151" s="12" t="s">
        <v>2605</v>
      </c>
      <c r="O151" s="12" t="s">
        <v>2606</v>
      </c>
      <c r="P151" s="14" t="s">
        <v>2607</v>
      </c>
      <c r="Q151">
        <v>1</v>
      </c>
      <c r="R151" s="20">
        <f>SUM(Q151:Q164)</f>
        <v>14</v>
      </c>
    </row>
    <row r="152" spans="1:18" ht="20.100000000000001" customHeight="1">
      <c r="A152" s="7">
        <v>147</v>
      </c>
      <c r="B152" s="8">
        <v>3204272005</v>
      </c>
      <c r="C152" s="9" t="s">
        <v>35</v>
      </c>
      <c r="D152" s="10" t="s">
        <v>18</v>
      </c>
      <c r="E152" s="11" t="s">
        <v>762</v>
      </c>
      <c r="F152" s="11" t="s">
        <v>763</v>
      </c>
      <c r="G152" s="9" t="s">
        <v>764</v>
      </c>
      <c r="H152" s="9" t="s">
        <v>761</v>
      </c>
      <c r="I152" s="9" t="s">
        <v>697</v>
      </c>
      <c r="J152" s="9" t="s">
        <v>100</v>
      </c>
      <c r="K152" s="12" t="s">
        <v>19</v>
      </c>
      <c r="L152" s="13" t="s">
        <v>20</v>
      </c>
      <c r="M152" s="12" t="s">
        <v>2604</v>
      </c>
      <c r="N152" s="12" t="s">
        <v>2605</v>
      </c>
      <c r="O152" s="12" t="s">
        <v>2618</v>
      </c>
      <c r="P152" s="14" t="s">
        <v>2610</v>
      </c>
      <c r="Q152">
        <v>1</v>
      </c>
      <c r="R152" s="20"/>
    </row>
    <row r="153" spans="1:18" ht="20.100000000000001" customHeight="1">
      <c r="A153" s="7">
        <v>148</v>
      </c>
      <c r="B153" s="8">
        <v>3204272005</v>
      </c>
      <c r="C153" s="9" t="s">
        <v>765</v>
      </c>
      <c r="D153" s="10" t="s">
        <v>22</v>
      </c>
      <c r="E153" s="11" t="s">
        <v>766</v>
      </c>
      <c r="F153" s="11" t="s">
        <v>767</v>
      </c>
      <c r="G153" s="9" t="s">
        <v>760</v>
      </c>
      <c r="H153" s="9" t="s">
        <v>761</v>
      </c>
      <c r="I153" s="9" t="s">
        <v>697</v>
      </c>
      <c r="J153" s="9" t="s">
        <v>100</v>
      </c>
      <c r="K153" s="12" t="s">
        <v>19</v>
      </c>
      <c r="L153" s="13" t="s">
        <v>20</v>
      </c>
      <c r="M153" s="12" t="s">
        <v>2604</v>
      </c>
      <c r="N153" s="12" t="s">
        <v>2605</v>
      </c>
      <c r="O153" s="12" t="s">
        <v>2614</v>
      </c>
      <c r="P153" s="14" t="s">
        <v>2615</v>
      </c>
      <c r="Q153">
        <v>1</v>
      </c>
      <c r="R153" s="20"/>
    </row>
    <row r="154" spans="1:18" ht="20.100000000000001" customHeight="1">
      <c r="A154" s="7">
        <v>149</v>
      </c>
      <c r="B154" s="8">
        <v>3204272005</v>
      </c>
      <c r="C154" s="9" t="s">
        <v>188</v>
      </c>
      <c r="D154" s="10" t="s">
        <v>18</v>
      </c>
      <c r="E154" s="11" t="s">
        <v>768</v>
      </c>
      <c r="F154" s="11" t="s">
        <v>769</v>
      </c>
      <c r="G154" s="9" t="s">
        <v>764</v>
      </c>
      <c r="H154" s="9" t="s">
        <v>761</v>
      </c>
      <c r="I154" s="9" t="s">
        <v>697</v>
      </c>
      <c r="J154" s="9" t="s">
        <v>100</v>
      </c>
      <c r="K154" s="12" t="s">
        <v>19</v>
      </c>
      <c r="L154" s="13" t="s">
        <v>20</v>
      </c>
      <c r="M154" s="12" t="s">
        <v>2604</v>
      </c>
      <c r="N154" s="12" t="s">
        <v>2605</v>
      </c>
      <c r="O154" s="12" t="s">
        <v>2614</v>
      </c>
      <c r="P154" s="14" t="s">
        <v>2615</v>
      </c>
      <c r="Q154">
        <v>1</v>
      </c>
      <c r="R154" s="20"/>
    </row>
    <row r="155" spans="1:18" ht="20.100000000000001" customHeight="1">
      <c r="A155" s="7">
        <v>150</v>
      </c>
      <c r="B155" s="8">
        <v>3204272005</v>
      </c>
      <c r="C155" s="9" t="s">
        <v>770</v>
      </c>
      <c r="D155" s="10" t="s">
        <v>18</v>
      </c>
      <c r="E155" s="11" t="s">
        <v>771</v>
      </c>
      <c r="F155" s="11" t="s">
        <v>772</v>
      </c>
      <c r="G155" s="9" t="s">
        <v>773</v>
      </c>
      <c r="H155" s="9" t="s">
        <v>761</v>
      </c>
      <c r="I155" s="9" t="s">
        <v>697</v>
      </c>
      <c r="J155" s="9" t="s">
        <v>100</v>
      </c>
      <c r="K155" s="12" t="s">
        <v>19</v>
      </c>
      <c r="L155" s="13" t="s">
        <v>20</v>
      </c>
      <c r="M155" s="12" t="s">
        <v>2604</v>
      </c>
      <c r="N155" s="12" t="s">
        <v>2605</v>
      </c>
      <c r="O155" s="12" t="s">
        <v>2616</v>
      </c>
      <c r="P155" s="14" t="s">
        <v>2607</v>
      </c>
      <c r="Q155">
        <v>1</v>
      </c>
      <c r="R155" s="20"/>
    </row>
    <row r="156" spans="1:18" ht="20.100000000000001" customHeight="1">
      <c r="A156" s="7">
        <v>151</v>
      </c>
      <c r="B156" s="8">
        <v>3204272005</v>
      </c>
      <c r="C156" s="9" t="s">
        <v>774</v>
      </c>
      <c r="D156" s="10" t="s">
        <v>22</v>
      </c>
      <c r="E156" s="11" t="s">
        <v>775</v>
      </c>
      <c r="F156" s="11" t="s">
        <v>776</v>
      </c>
      <c r="G156" s="9" t="s">
        <v>777</v>
      </c>
      <c r="H156" s="9" t="s">
        <v>761</v>
      </c>
      <c r="I156" s="9" t="s">
        <v>697</v>
      </c>
      <c r="J156" s="9" t="s">
        <v>100</v>
      </c>
      <c r="K156" s="12" t="s">
        <v>19</v>
      </c>
      <c r="L156" s="13" t="s">
        <v>20</v>
      </c>
      <c r="M156" s="12" t="s">
        <v>2604</v>
      </c>
      <c r="N156" s="12" t="s">
        <v>2605</v>
      </c>
      <c r="O156" s="12" t="s">
        <v>2609</v>
      </c>
      <c r="P156" s="14" t="s">
        <v>2610</v>
      </c>
      <c r="Q156">
        <v>1</v>
      </c>
      <c r="R156" s="20"/>
    </row>
    <row r="157" spans="1:18" ht="20.100000000000001" customHeight="1">
      <c r="A157" s="7">
        <v>152</v>
      </c>
      <c r="B157" s="8">
        <v>3204272005</v>
      </c>
      <c r="C157" s="9" t="s">
        <v>50</v>
      </c>
      <c r="D157" s="10" t="s">
        <v>22</v>
      </c>
      <c r="E157" s="11" t="s">
        <v>778</v>
      </c>
      <c r="F157" s="11" t="s">
        <v>779</v>
      </c>
      <c r="G157" s="9" t="s">
        <v>780</v>
      </c>
      <c r="H157" s="9" t="s">
        <v>761</v>
      </c>
      <c r="I157" s="9" t="s">
        <v>697</v>
      </c>
      <c r="J157" s="9" t="s">
        <v>100</v>
      </c>
      <c r="K157" s="12" t="s">
        <v>19</v>
      </c>
      <c r="L157" s="13" t="s">
        <v>20</v>
      </c>
      <c r="M157" s="12" t="s">
        <v>2604</v>
      </c>
      <c r="N157" s="12" t="s">
        <v>2605</v>
      </c>
      <c r="O157" s="12" t="s">
        <v>2628</v>
      </c>
      <c r="P157" s="14" t="s">
        <v>2615</v>
      </c>
      <c r="Q157">
        <v>1</v>
      </c>
      <c r="R157" s="20"/>
    </row>
    <row r="158" spans="1:18" ht="20.100000000000001" customHeight="1">
      <c r="A158" s="7">
        <v>153</v>
      </c>
      <c r="B158" s="8">
        <v>3204272005</v>
      </c>
      <c r="C158" s="9" t="s">
        <v>781</v>
      </c>
      <c r="D158" s="10" t="s">
        <v>22</v>
      </c>
      <c r="E158" s="11" t="s">
        <v>782</v>
      </c>
      <c r="F158" s="11" t="s">
        <v>783</v>
      </c>
      <c r="G158" s="9" t="s">
        <v>784</v>
      </c>
      <c r="H158" s="9" t="s">
        <v>761</v>
      </c>
      <c r="I158" s="9" t="s">
        <v>697</v>
      </c>
      <c r="J158" s="9" t="s">
        <v>100</v>
      </c>
      <c r="K158" s="12" t="s">
        <v>19</v>
      </c>
      <c r="L158" s="13" t="s">
        <v>20</v>
      </c>
      <c r="M158" s="12" t="s">
        <v>2604</v>
      </c>
      <c r="N158" s="12" t="s">
        <v>2605</v>
      </c>
      <c r="O158" s="12" t="s">
        <v>2628</v>
      </c>
      <c r="P158" s="14" t="s">
        <v>2615</v>
      </c>
      <c r="Q158">
        <v>1</v>
      </c>
      <c r="R158" s="20"/>
    </row>
    <row r="159" spans="1:18" ht="20.100000000000001" customHeight="1">
      <c r="A159" s="7">
        <v>154</v>
      </c>
      <c r="B159" s="8">
        <v>3204272005</v>
      </c>
      <c r="C159" s="9" t="s">
        <v>785</v>
      </c>
      <c r="D159" s="10" t="s">
        <v>18</v>
      </c>
      <c r="E159" s="11" t="s">
        <v>786</v>
      </c>
      <c r="F159" s="11" t="s">
        <v>787</v>
      </c>
      <c r="G159" s="9" t="s">
        <v>788</v>
      </c>
      <c r="H159" s="9" t="s">
        <v>761</v>
      </c>
      <c r="I159" s="9" t="s">
        <v>697</v>
      </c>
      <c r="J159" s="9" t="s">
        <v>100</v>
      </c>
      <c r="K159" s="12" t="s">
        <v>19</v>
      </c>
      <c r="L159" s="13" t="s">
        <v>20</v>
      </c>
      <c r="M159" s="12" t="s">
        <v>2604</v>
      </c>
      <c r="N159" s="12" t="s">
        <v>2605</v>
      </c>
      <c r="O159" s="12" t="s">
        <v>2606</v>
      </c>
      <c r="P159" s="14" t="s">
        <v>2607</v>
      </c>
      <c r="Q159">
        <v>1</v>
      </c>
      <c r="R159" s="20"/>
    </row>
    <row r="160" spans="1:18" ht="20.100000000000001" customHeight="1">
      <c r="A160" s="7">
        <v>155</v>
      </c>
      <c r="B160" s="8">
        <v>3204272005</v>
      </c>
      <c r="C160" s="9" t="s">
        <v>789</v>
      </c>
      <c r="D160" s="10" t="s">
        <v>22</v>
      </c>
      <c r="E160" s="11" t="s">
        <v>790</v>
      </c>
      <c r="F160" s="11" t="s">
        <v>791</v>
      </c>
      <c r="G160" s="9" t="s">
        <v>792</v>
      </c>
      <c r="H160" s="9" t="s">
        <v>761</v>
      </c>
      <c r="I160" s="9" t="s">
        <v>697</v>
      </c>
      <c r="J160" s="9" t="s">
        <v>100</v>
      </c>
      <c r="K160" s="12" t="s">
        <v>19</v>
      </c>
      <c r="L160" s="13" t="s">
        <v>20</v>
      </c>
      <c r="M160" s="12" t="s">
        <v>2604</v>
      </c>
      <c r="N160" s="12" t="s">
        <v>2605</v>
      </c>
      <c r="O160" s="12" t="s">
        <v>2622</v>
      </c>
      <c r="P160" s="14" t="s">
        <v>2607</v>
      </c>
      <c r="Q160">
        <v>1</v>
      </c>
      <c r="R160" s="20"/>
    </row>
    <row r="161" spans="1:18" ht="20.100000000000001" customHeight="1">
      <c r="A161" s="7">
        <v>156</v>
      </c>
      <c r="B161" s="8">
        <v>3204272005</v>
      </c>
      <c r="C161" s="9" t="s">
        <v>220</v>
      </c>
      <c r="D161" s="10" t="s">
        <v>22</v>
      </c>
      <c r="E161" s="11" t="s">
        <v>793</v>
      </c>
      <c r="F161" s="11" t="s">
        <v>794</v>
      </c>
      <c r="G161" s="9" t="s">
        <v>795</v>
      </c>
      <c r="H161" s="9" t="s">
        <v>761</v>
      </c>
      <c r="I161" s="9" t="s">
        <v>697</v>
      </c>
      <c r="J161" s="9" t="s">
        <v>100</v>
      </c>
      <c r="K161" s="12" t="s">
        <v>19</v>
      </c>
      <c r="L161" s="13" t="s">
        <v>20</v>
      </c>
      <c r="M161" s="12" t="s">
        <v>2604</v>
      </c>
      <c r="N161" s="12" t="s">
        <v>2605</v>
      </c>
      <c r="O161" s="12" t="s">
        <v>2616</v>
      </c>
      <c r="P161" s="14" t="s">
        <v>2607</v>
      </c>
      <c r="Q161">
        <v>1</v>
      </c>
      <c r="R161" s="20"/>
    </row>
    <row r="162" spans="1:18" ht="20.100000000000001" customHeight="1">
      <c r="A162" s="7">
        <v>157</v>
      </c>
      <c r="B162" s="8">
        <v>3204272005</v>
      </c>
      <c r="C162" s="9" t="s">
        <v>796</v>
      </c>
      <c r="D162" s="10" t="s">
        <v>22</v>
      </c>
      <c r="E162" s="11" t="s">
        <v>797</v>
      </c>
      <c r="F162" s="11" t="s">
        <v>798</v>
      </c>
      <c r="G162" s="9" t="s">
        <v>799</v>
      </c>
      <c r="H162" s="9" t="s">
        <v>761</v>
      </c>
      <c r="I162" s="9" t="s">
        <v>697</v>
      </c>
      <c r="J162" s="9" t="s">
        <v>100</v>
      </c>
      <c r="K162" s="12" t="s">
        <v>19</v>
      </c>
      <c r="L162" s="13" t="s">
        <v>20</v>
      </c>
      <c r="M162" s="12" t="s">
        <v>2604</v>
      </c>
      <c r="N162" s="12" t="s">
        <v>2605</v>
      </c>
      <c r="O162" s="12" t="s">
        <v>2616</v>
      </c>
      <c r="P162" s="14" t="s">
        <v>2607</v>
      </c>
      <c r="Q162">
        <v>1</v>
      </c>
      <c r="R162" s="20"/>
    </row>
    <row r="163" spans="1:18" ht="20.100000000000001" customHeight="1">
      <c r="A163" s="7">
        <v>158</v>
      </c>
      <c r="B163" s="8">
        <v>3204272005</v>
      </c>
      <c r="C163" s="9" t="s">
        <v>800</v>
      </c>
      <c r="D163" s="10" t="s">
        <v>22</v>
      </c>
      <c r="E163" s="11" t="s">
        <v>801</v>
      </c>
      <c r="F163" s="11" t="s">
        <v>802</v>
      </c>
      <c r="G163" s="9" t="s">
        <v>803</v>
      </c>
      <c r="H163" s="9" t="s">
        <v>761</v>
      </c>
      <c r="I163" s="9" t="s">
        <v>697</v>
      </c>
      <c r="J163" s="9" t="s">
        <v>100</v>
      </c>
      <c r="K163" s="12" t="s">
        <v>19</v>
      </c>
      <c r="L163" s="13" t="s">
        <v>20</v>
      </c>
      <c r="M163" s="12" t="s">
        <v>2604</v>
      </c>
      <c r="N163" s="12" t="s">
        <v>2605</v>
      </c>
      <c r="O163" s="12" t="s">
        <v>2606</v>
      </c>
      <c r="P163" s="14" t="s">
        <v>2607</v>
      </c>
      <c r="Q163">
        <v>1</v>
      </c>
      <c r="R163" s="20"/>
    </row>
    <row r="164" spans="1:18" ht="20.100000000000001" customHeight="1">
      <c r="A164" s="7">
        <v>159</v>
      </c>
      <c r="B164" s="8">
        <v>3204272005</v>
      </c>
      <c r="C164" s="9" t="s">
        <v>129</v>
      </c>
      <c r="D164" s="10" t="s">
        <v>18</v>
      </c>
      <c r="E164" s="11" t="s">
        <v>804</v>
      </c>
      <c r="F164" s="11" t="s">
        <v>805</v>
      </c>
      <c r="G164" s="9" t="s">
        <v>806</v>
      </c>
      <c r="H164" s="9" t="s">
        <v>761</v>
      </c>
      <c r="I164" s="9" t="s">
        <v>697</v>
      </c>
      <c r="J164" s="9" t="s">
        <v>100</v>
      </c>
      <c r="K164" s="12" t="s">
        <v>19</v>
      </c>
      <c r="L164" s="13" t="s">
        <v>20</v>
      </c>
      <c r="M164" s="12" t="s">
        <v>2604</v>
      </c>
      <c r="N164" s="12" t="s">
        <v>2605</v>
      </c>
      <c r="O164" s="12" t="s">
        <v>2619</v>
      </c>
      <c r="P164" s="14" t="s">
        <v>2610</v>
      </c>
      <c r="Q164">
        <v>1</v>
      </c>
      <c r="R164" s="20"/>
    </row>
    <row r="165" spans="1:18" ht="20.100000000000001" customHeight="1">
      <c r="A165" s="7">
        <v>160</v>
      </c>
      <c r="B165" s="8">
        <v>3204072002</v>
      </c>
      <c r="C165" s="9" t="s">
        <v>807</v>
      </c>
      <c r="D165" s="10" t="s">
        <v>18</v>
      </c>
      <c r="E165" s="11" t="s">
        <v>808</v>
      </c>
      <c r="F165" s="11" t="s">
        <v>809</v>
      </c>
      <c r="G165" s="9" t="s">
        <v>810</v>
      </c>
      <c r="H165" s="9" t="s">
        <v>222</v>
      </c>
      <c r="I165" s="9" t="s">
        <v>222</v>
      </c>
      <c r="J165" s="9" t="s">
        <v>100</v>
      </c>
      <c r="K165" s="12" t="s">
        <v>19</v>
      </c>
      <c r="L165" s="13" t="s">
        <v>20</v>
      </c>
      <c r="M165" s="12" t="s">
        <v>2604</v>
      </c>
      <c r="N165" s="12" t="s">
        <v>2605</v>
      </c>
      <c r="O165" s="12" t="s">
        <v>195</v>
      </c>
      <c r="P165" s="14" t="s">
        <v>2621</v>
      </c>
      <c r="Q165">
        <v>1</v>
      </c>
      <c r="R165" s="20">
        <f>SUM(Q165:Q177)</f>
        <v>13</v>
      </c>
    </row>
    <row r="166" spans="1:18" ht="20.100000000000001" customHeight="1">
      <c r="A166" s="7">
        <v>161</v>
      </c>
      <c r="B166" s="8">
        <v>3204072002</v>
      </c>
      <c r="C166" s="9" t="s">
        <v>811</v>
      </c>
      <c r="D166" s="10" t="s">
        <v>18</v>
      </c>
      <c r="E166" s="11" t="s">
        <v>812</v>
      </c>
      <c r="F166" s="11" t="s">
        <v>813</v>
      </c>
      <c r="G166" s="9" t="s">
        <v>810</v>
      </c>
      <c r="H166" s="9" t="s">
        <v>222</v>
      </c>
      <c r="I166" s="9" t="s">
        <v>222</v>
      </c>
      <c r="J166" s="9" t="s">
        <v>100</v>
      </c>
      <c r="K166" s="12" t="s">
        <v>19</v>
      </c>
      <c r="L166" s="13" t="s">
        <v>20</v>
      </c>
      <c r="M166" s="12" t="s">
        <v>2604</v>
      </c>
      <c r="N166" s="12" t="s">
        <v>2605</v>
      </c>
      <c r="O166" s="12" t="s">
        <v>2622</v>
      </c>
      <c r="P166" s="14" t="s">
        <v>2607</v>
      </c>
      <c r="Q166">
        <v>1</v>
      </c>
      <c r="R166" s="20"/>
    </row>
    <row r="167" spans="1:18" ht="20.100000000000001" customHeight="1">
      <c r="A167" s="7">
        <v>162</v>
      </c>
      <c r="B167" s="8">
        <v>3204072002</v>
      </c>
      <c r="C167" s="9" t="s">
        <v>814</v>
      </c>
      <c r="D167" s="10" t="s">
        <v>18</v>
      </c>
      <c r="E167" s="11" t="s">
        <v>815</v>
      </c>
      <c r="F167" s="11" t="s">
        <v>816</v>
      </c>
      <c r="G167" s="9" t="s">
        <v>817</v>
      </c>
      <c r="H167" s="9" t="s">
        <v>222</v>
      </c>
      <c r="I167" s="9" t="s">
        <v>222</v>
      </c>
      <c r="J167" s="9" t="s">
        <v>100</v>
      </c>
      <c r="K167" s="12" t="s">
        <v>19</v>
      </c>
      <c r="L167" s="13" t="s">
        <v>20</v>
      </c>
      <c r="M167" s="12" t="s">
        <v>2604</v>
      </c>
      <c r="N167" s="12" t="s">
        <v>2605</v>
      </c>
      <c r="O167" s="12" t="s">
        <v>2606</v>
      </c>
      <c r="P167" s="14" t="s">
        <v>2607</v>
      </c>
      <c r="Q167">
        <v>1</v>
      </c>
      <c r="R167" s="20"/>
    </row>
    <row r="168" spans="1:18" ht="20.100000000000001" customHeight="1">
      <c r="A168" s="7">
        <v>163</v>
      </c>
      <c r="B168" s="8">
        <v>3204072002</v>
      </c>
      <c r="C168" s="9" t="s">
        <v>818</v>
      </c>
      <c r="D168" s="10" t="s">
        <v>18</v>
      </c>
      <c r="E168" s="11" t="s">
        <v>819</v>
      </c>
      <c r="F168" s="11" t="s">
        <v>820</v>
      </c>
      <c r="G168" s="9" t="s">
        <v>821</v>
      </c>
      <c r="H168" s="9" t="s">
        <v>222</v>
      </c>
      <c r="I168" s="9" t="s">
        <v>222</v>
      </c>
      <c r="J168" s="9" t="s">
        <v>100</v>
      </c>
      <c r="K168" s="12" t="s">
        <v>19</v>
      </c>
      <c r="L168" s="13" t="s">
        <v>20</v>
      </c>
      <c r="M168" s="12" t="s">
        <v>2604</v>
      </c>
      <c r="N168" s="12" t="s">
        <v>2605</v>
      </c>
      <c r="O168" s="12" t="s">
        <v>2611</v>
      </c>
      <c r="P168" s="14" t="s">
        <v>2607</v>
      </c>
      <c r="Q168">
        <v>1</v>
      </c>
      <c r="R168" s="20"/>
    </row>
    <row r="169" spans="1:18" ht="20.100000000000001" customHeight="1">
      <c r="A169" s="7">
        <v>164</v>
      </c>
      <c r="B169" s="8">
        <v>3204072002</v>
      </c>
      <c r="C169" s="9" t="s">
        <v>40</v>
      </c>
      <c r="D169" s="10" t="s">
        <v>18</v>
      </c>
      <c r="E169" s="11" t="s">
        <v>822</v>
      </c>
      <c r="F169" s="11" t="s">
        <v>823</v>
      </c>
      <c r="G169" s="9" t="s">
        <v>824</v>
      </c>
      <c r="H169" s="9" t="s">
        <v>222</v>
      </c>
      <c r="I169" s="9" t="s">
        <v>222</v>
      </c>
      <c r="J169" s="9" t="s">
        <v>100</v>
      </c>
      <c r="K169" s="12" t="s">
        <v>19</v>
      </c>
      <c r="L169" s="13" t="s">
        <v>20</v>
      </c>
      <c r="M169" s="12" t="s">
        <v>2604</v>
      </c>
      <c r="N169" s="12" t="s">
        <v>2605</v>
      </c>
      <c r="O169" s="12" t="s">
        <v>2609</v>
      </c>
      <c r="P169" s="14" t="s">
        <v>2610</v>
      </c>
      <c r="Q169">
        <v>1</v>
      </c>
      <c r="R169" s="20"/>
    </row>
    <row r="170" spans="1:18" ht="20.100000000000001" customHeight="1">
      <c r="A170" s="7">
        <v>165</v>
      </c>
      <c r="B170" s="8">
        <v>3204072002</v>
      </c>
      <c r="C170" s="9" t="s">
        <v>825</v>
      </c>
      <c r="D170" s="10" t="s">
        <v>18</v>
      </c>
      <c r="E170" s="11" t="s">
        <v>826</v>
      </c>
      <c r="F170" s="11" t="s">
        <v>827</v>
      </c>
      <c r="G170" s="9" t="s">
        <v>824</v>
      </c>
      <c r="H170" s="9" t="s">
        <v>222</v>
      </c>
      <c r="I170" s="9" t="s">
        <v>222</v>
      </c>
      <c r="J170" s="9" t="s">
        <v>100</v>
      </c>
      <c r="K170" s="12" t="s">
        <v>19</v>
      </c>
      <c r="L170" s="13" t="s">
        <v>20</v>
      </c>
      <c r="M170" s="12" t="s">
        <v>2604</v>
      </c>
      <c r="N170" s="12" t="s">
        <v>2605</v>
      </c>
      <c r="O170" s="12" t="s">
        <v>2611</v>
      </c>
      <c r="P170" s="14" t="s">
        <v>2607</v>
      </c>
      <c r="Q170">
        <v>1</v>
      </c>
      <c r="R170" s="20"/>
    </row>
    <row r="171" spans="1:18" ht="20.100000000000001" customHeight="1">
      <c r="A171" s="7">
        <v>166</v>
      </c>
      <c r="B171" s="8">
        <v>3204072002</v>
      </c>
      <c r="C171" s="9" t="s">
        <v>828</v>
      </c>
      <c r="D171" s="10" t="s">
        <v>18</v>
      </c>
      <c r="E171" s="11" t="s">
        <v>829</v>
      </c>
      <c r="F171" s="11" t="s">
        <v>830</v>
      </c>
      <c r="G171" s="9" t="s">
        <v>831</v>
      </c>
      <c r="H171" s="9" t="s">
        <v>222</v>
      </c>
      <c r="I171" s="9" t="s">
        <v>222</v>
      </c>
      <c r="J171" s="9" t="s">
        <v>100</v>
      </c>
      <c r="K171" s="12" t="s">
        <v>19</v>
      </c>
      <c r="L171" s="13" t="s">
        <v>20</v>
      </c>
      <c r="M171" s="12" t="s">
        <v>2604</v>
      </c>
      <c r="N171" s="12" t="s">
        <v>2605</v>
      </c>
      <c r="O171" s="12" t="s">
        <v>2619</v>
      </c>
      <c r="P171" s="14" t="s">
        <v>2610</v>
      </c>
      <c r="Q171">
        <v>1</v>
      </c>
      <c r="R171" s="20"/>
    </row>
    <row r="172" spans="1:18" ht="20.100000000000001" customHeight="1">
      <c r="A172" s="7">
        <v>167</v>
      </c>
      <c r="B172" s="8">
        <v>3204072002</v>
      </c>
      <c r="C172" s="9" t="s">
        <v>132</v>
      </c>
      <c r="D172" s="10" t="s">
        <v>18</v>
      </c>
      <c r="E172" s="11" t="s">
        <v>832</v>
      </c>
      <c r="F172" s="11" t="s">
        <v>833</v>
      </c>
      <c r="G172" s="9" t="s">
        <v>834</v>
      </c>
      <c r="H172" s="9" t="s">
        <v>222</v>
      </c>
      <c r="I172" s="9" t="s">
        <v>222</v>
      </c>
      <c r="J172" s="9" t="s">
        <v>100</v>
      </c>
      <c r="K172" s="12" t="s">
        <v>19</v>
      </c>
      <c r="L172" s="13" t="s">
        <v>20</v>
      </c>
      <c r="M172" s="12" t="s">
        <v>2604</v>
      </c>
      <c r="N172" s="12" t="s">
        <v>2605</v>
      </c>
      <c r="O172" s="12" t="s">
        <v>2611</v>
      </c>
      <c r="P172" s="14" t="s">
        <v>2607</v>
      </c>
      <c r="Q172">
        <v>1</v>
      </c>
      <c r="R172" s="20"/>
    </row>
    <row r="173" spans="1:18" ht="20.100000000000001" customHeight="1">
      <c r="A173" s="7">
        <v>168</v>
      </c>
      <c r="B173" s="8">
        <v>3204072002</v>
      </c>
      <c r="C173" s="9" t="s">
        <v>835</v>
      </c>
      <c r="D173" s="10" t="s">
        <v>22</v>
      </c>
      <c r="E173" s="11" t="s">
        <v>836</v>
      </c>
      <c r="F173" s="11" t="s">
        <v>837</v>
      </c>
      <c r="G173" s="9" t="s">
        <v>838</v>
      </c>
      <c r="H173" s="9" t="s">
        <v>222</v>
      </c>
      <c r="I173" s="9" t="s">
        <v>222</v>
      </c>
      <c r="J173" s="9" t="s">
        <v>100</v>
      </c>
      <c r="K173" s="12" t="s">
        <v>19</v>
      </c>
      <c r="L173" s="13" t="s">
        <v>20</v>
      </c>
      <c r="M173" s="12" t="s">
        <v>2604</v>
      </c>
      <c r="N173" s="12" t="s">
        <v>2605</v>
      </c>
      <c r="O173" s="12" t="s">
        <v>2606</v>
      </c>
      <c r="P173" s="14" t="s">
        <v>2607</v>
      </c>
      <c r="Q173">
        <v>1</v>
      </c>
      <c r="R173" s="20"/>
    </row>
    <row r="174" spans="1:18" ht="20.100000000000001" customHeight="1">
      <c r="A174" s="7">
        <v>169</v>
      </c>
      <c r="B174" s="8">
        <v>3204072002</v>
      </c>
      <c r="C174" s="9" t="s">
        <v>231</v>
      </c>
      <c r="D174" s="10" t="s">
        <v>22</v>
      </c>
      <c r="E174" s="11" t="s">
        <v>839</v>
      </c>
      <c r="F174" s="11" t="s">
        <v>840</v>
      </c>
      <c r="G174" s="9" t="s">
        <v>841</v>
      </c>
      <c r="H174" s="9" t="s">
        <v>222</v>
      </c>
      <c r="I174" s="9" t="s">
        <v>222</v>
      </c>
      <c r="J174" s="9" t="s">
        <v>100</v>
      </c>
      <c r="K174" s="12" t="s">
        <v>19</v>
      </c>
      <c r="L174" s="13" t="s">
        <v>20</v>
      </c>
      <c r="M174" s="12" t="s">
        <v>2604</v>
      </c>
      <c r="N174" s="12" t="s">
        <v>2605</v>
      </c>
      <c r="O174" s="12" t="s">
        <v>2616</v>
      </c>
      <c r="P174" s="14" t="s">
        <v>2607</v>
      </c>
      <c r="Q174">
        <v>1</v>
      </c>
      <c r="R174" s="20"/>
    </row>
    <row r="175" spans="1:18" ht="20.100000000000001" customHeight="1">
      <c r="A175" s="7">
        <v>170</v>
      </c>
      <c r="B175" s="8">
        <v>3204072002</v>
      </c>
      <c r="C175" s="9" t="s">
        <v>126</v>
      </c>
      <c r="D175" s="10" t="s">
        <v>18</v>
      </c>
      <c r="E175" s="11" t="s">
        <v>842</v>
      </c>
      <c r="F175" s="11" t="s">
        <v>843</v>
      </c>
      <c r="G175" s="9" t="s">
        <v>834</v>
      </c>
      <c r="H175" s="9" t="s">
        <v>222</v>
      </c>
      <c r="I175" s="9" t="s">
        <v>222</v>
      </c>
      <c r="J175" s="9" t="s">
        <v>100</v>
      </c>
      <c r="K175" s="12" t="s">
        <v>19</v>
      </c>
      <c r="L175" s="13" t="s">
        <v>20</v>
      </c>
      <c r="M175" s="12" t="s">
        <v>2604</v>
      </c>
      <c r="N175" s="12" t="s">
        <v>2605</v>
      </c>
      <c r="O175" s="12" t="s">
        <v>2611</v>
      </c>
      <c r="P175" s="14" t="s">
        <v>2607</v>
      </c>
      <c r="Q175">
        <v>1</v>
      </c>
      <c r="R175" s="20"/>
    </row>
    <row r="176" spans="1:18" ht="20.100000000000001" customHeight="1">
      <c r="A176" s="7">
        <v>171</v>
      </c>
      <c r="B176" s="8">
        <v>3204072002</v>
      </c>
      <c r="C176" s="9" t="s">
        <v>149</v>
      </c>
      <c r="D176" s="10" t="s">
        <v>22</v>
      </c>
      <c r="E176" s="11" t="s">
        <v>844</v>
      </c>
      <c r="F176" s="11" t="s">
        <v>845</v>
      </c>
      <c r="G176" s="9" t="s">
        <v>846</v>
      </c>
      <c r="H176" s="9" t="s">
        <v>222</v>
      </c>
      <c r="I176" s="9" t="s">
        <v>222</v>
      </c>
      <c r="J176" s="9" t="s">
        <v>100</v>
      </c>
      <c r="K176" s="12" t="s">
        <v>19</v>
      </c>
      <c r="L176" s="13" t="s">
        <v>20</v>
      </c>
      <c r="M176" s="12" t="s">
        <v>2604</v>
      </c>
      <c r="N176" s="12" t="s">
        <v>2605</v>
      </c>
      <c r="O176" s="12" t="s">
        <v>2608</v>
      </c>
      <c r="P176" s="14" t="s">
        <v>2607</v>
      </c>
      <c r="Q176">
        <v>1</v>
      </c>
      <c r="R176" s="20"/>
    </row>
    <row r="177" spans="1:18" ht="20.100000000000001" customHeight="1">
      <c r="A177" s="7">
        <v>172</v>
      </c>
      <c r="B177" s="8">
        <v>3204072002</v>
      </c>
      <c r="C177" s="9" t="s">
        <v>183</v>
      </c>
      <c r="D177" s="10" t="s">
        <v>22</v>
      </c>
      <c r="E177" s="11" t="s">
        <v>847</v>
      </c>
      <c r="F177" s="11" t="s">
        <v>848</v>
      </c>
      <c r="G177" s="9" t="s">
        <v>849</v>
      </c>
      <c r="H177" s="9" t="s">
        <v>222</v>
      </c>
      <c r="I177" s="9" t="s">
        <v>222</v>
      </c>
      <c r="J177" s="9" t="s">
        <v>100</v>
      </c>
      <c r="K177" s="12" t="s">
        <v>19</v>
      </c>
      <c r="L177" s="13" t="s">
        <v>20</v>
      </c>
      <c r="M177" s="12" t="s">
        <v>2604</v>
      </c>
      <c r="N177" s="12" t="s">
        <v>2605</v>
      </c>
      <c r="O177" s="12" t="s">
        <v>2612</v>
      </c>
      <c r="P177" s="14" t="s">
        <v>2613</v>
      </c>
      <c r="Q177">
        <v>1</v>
      </c>
      <c r="R177" s="20"/>
    </row>
    <row r="178" spans="1:18" ht="20.100000000000001" customHeight="1">
      <c r="A178" s="7">
        <v>173</v>
      </c>
      <c r="B178" s="8">
        <v>3204072006</v>
      </c>
      <c r="C178" s="9" t="s">
        <v>174</v>
      </c>
      <c r="D178" s="10" t="s">
        <v>22</v>
      </c>
      <c r="E178" s="11" t="s">
        <v>850</v>
      </c>
      <c r="F178" s="11" t="s">
        <v>851</v>
      </c>
      <c r="G178" s="9" t="s">
        <v>852</v>
      </c>
      <c r="H178" s="9" t="s">
        <v>853</v>
      </c>
      <c r="I178" s="9" t="s">
        <v>222</v>
      </c>
      <c r="J178" s="9" t="s">
        <v>100</v>
      </c>
      <c r="K178" s="12" t="s">
        <v>19</v>
      </c>
      <c r="L178" s="13" t="s">
        <v>20</v>
      </c>
      <c r="M178" s="12" t="s">
        <v>2604</v>
      </c>
      <c r="N178" s="12" t="s">
        <v>2605</v>
      </c>
      <c r="O178" s="12" t="s">
        <v>2606</v>
      </c>
      <c r="P178" s="14" t="s">
        <v>2607</v>
      </c>
      <c r="Q178">
        <v>1</v>
      </c>
      <c r="R178" s="20">
        <f>SUM(Q178:Q192)</f>
        <v>15</v>
      </c>
    </row>
    <row r="179" spans="1:18" ht="20.100000000000001" customHeight="1">
      <c r="A179" s="7">
        <v>174</v>
      </c>
      <c r="B179" s="8">
        <v>3204072006</v>
      </c>
      <c r="C179" s="9" t="s">
        <v>854</v>
      </c>
      <c r="D179" s="10" t="s">
        <v>22</v>
      </c>
      <c r="E179" s="11" t="s">
        <v>855</v>
      </c>
      <c r="F179" s="11" t="s">
        <v>856</v>
      </c>
      <c r="G179" s="9" t="s">
        <v>852</v>
      </c>
      <c r="H179" s="9" t="s">
        <v>853</v>
      </c>
      <c r="I179" s="9" t="s">
        <v>222</v>
      </c>
      <c r="J179" s="9" t="s">
        <v>100</v>
      </c>
      <c r="K179" s="12" t="s">
        <v>19</v>
      </c>
      <c r="L179" s="13" t="s">
        <v>20</v>
      </c>
      <c r="M179" s="12" t="s">
        <v>2604</v>
      </c>
      <c r="N179" s="12" t="s">
        <v>2605</v>
      </c>
      <c r="O179" s="12" t="s">
        <v>2627</v>
      </c>
      <c r="P179" s="14" t="s">
        <v>2610</v>
      </c>
      <c r="Q179">
        <v>1</v>
      </c>
      <c r="R179" s="20"/>
    </row>
    <row r="180" spans="1:18" ht="20.100000000000001" customHeight="1">
      <c r="A180" s="7">
        <v>175</v>
      </c>
      <c r="B180" s="8">
        <v>3204072006</v>
      </c>
      <c r="C180" s="9" t="s">
        <v>33</v>
      </c>
      <c r="D180" s="10" t="s">
        <v>18</v>
      </c>
      <c r="E180" s="11" t="s">
        <v>857</v>
      </c>
      <c r="F180" s="11" t="s">
        <v>858</v>
      </c>
      <c r="G180" s="9" t="s">
        <v>859</v>
      </c>
      <c r="H180" s="9" t="s">
        <v>853</v>
      </c>
      <c r="I180" s="9" t="s">
        <v>222</v>
      </c>
      <c r="J180" s="9" t="s">
        <v>100</v>
      </c>
      <c r="K180" s="12" t="s">
        <v>19</v>
      </c>
      <c r="L180" s="13" t="s">
        <v>20</v>
      </c>
      <c r="M180" s="12" t="s">
        <v>2604</v>
      </c>
      <c r="N180" s="12" t="s">
        <v>2605</v>
      </c>
      <c r="O180" s="12" t="s">
        <v>2606</v>
      </c>
      <c r="P180" s="14" t="s">
        <v>2607</v>
      </c>
      <c r="Q180">
        <v>1</v>
      </c>
      <c r="R180" s="20"/>
    </row>
    <row r="181" spans="1:18" ht="20.100000000000001" customHeight="1">
      <c r="A181" s="7">
        <v>176</v>
      </c>
      <c r="B181" s="8">
        <v>3204072006</v>
      </c>
      <c r="C181" s="9" t="s">
        <v>860</v>
      </c>
      <c r="D181" s="10" t="s">
        <v>18</v>
      </c>
      <c r="E181" s="11" t="s">
        <v>861</v>
      </c>
      <c r="F181" s="11" t="s">
        <v>862</v>
      </c>
      <c r="G181" s="9" t="s">
        <v>863</v>
      </c>
      <c r="H181" s="9" t="s">
        <v>853</v>
      </c>
      <c r="I181" s="9" t="s">
        <v>222</v>
      </c>
      <c r="J181" s="9" t="s">
        <v>100</v>
      </c>
      <c r="K181" s="12" t="s">
        <v>19</v>
      </c>
      <c r="L181" s="13" t="s">
        <v>20</v>
      </c>
      <c r="M181" s="12" t="s">
        <v>2604</v>
      </c>
      <c r="N181" s="12" t="s">
        <v>2605</v>
      </c>
      <c r="O181" s="12" t="s">
        <v>2616</v>
      </c>
      <c r="P181" s="14" t="s">
        <v>2607</v>
      </c>
      <c r="Q181">
        <v>1</v>
      </c>
      <c r="R181" s="20"/>
    </row>
    <row r="182" spans="1:18" ht="20.100000000000001" customHeight="1">
      <c r="A182" s="7">
        <v>177</v>
      </c>
      <c r="B182" s="8">
        <v>3204072006</v>
      </c>
      <c r="C182" s="9" t="s">
        <v>864</v>
      </c>
      <c r="D182" s="10" t="s">
        <v>18</v>
      </c>
      <c r="E182" s="11" t="s">
        <v>865</v>
      </c>
      <c r="F182" s="11" t="s">
        <v>866</v>
      </c>
      <c r="G182" s="9" t="s">
        <v>867</v>
      </c>
      <c r="H182" s="9" t="s">
        <v>853</v>
      </c>
      <c r="I182" s="9" t="s">
        <v>222</v>
      </c>
      <c r="J182" s="9" t="s">
        <v>100</v>
      </c>
      <c r="K182" s="12" t="s">
        <v>19</v>
      </c>
      <c r="L182" s="13" t="s">
        <v>20</v>
      </c>
      <c r="M182" s="12" t="s">
        <v>2604</v>
      </c>
      <c r="N182" s="12" t="s">
        <v>2605</v>
      </c>
      <c r="O182" s="12" t="s">
        <v>195</v>
      </c>
      <c r="P182" s="14" t="s">
        <v>2621</v>
      </c>
      <c r="Q182">
        <v>1</v>
      </c>
      <c r="R182" s="20"/>
    </row>
    <row r="183" spans="1:18" ht="20.100000000000001" customHeight="1">
      <c r="A183" s="7">
        <v>178</v>
      </c>
      <c r="B183" s="8">
        <v>3204072006</v>
      </c>
      <c r="C183" s="9" t="s">
        <v>868</v>
      </c>
      <c r="D183" s="10" t="s">
        <v>18</v>
      </c>
      <c r="E183" s="11" t="s">
        <v>869</v>
      </c>
      <c r="F183" s="11" t="s">
        <v>870</v>
      </c>
      <c r="G183" s="9" t="s">
        <v>871</v>
      </c>
      <c r="H183" s="9" t="s">
        <v>853</v>
      </c>
      <c r="I183" s="9" t="s">
        <v>222</v>
      </c>
      <c r="J183" s="9" t="s">
        <v>100</v>
      </c>
      <c r="K183" s="12" t="s">
        <v>19</v>
      </c>
      <c r="L183" s="13" t="s">
        <v>20</v>
      </c>
      <c r="M183" s="12" t="s">
        <v>2604</v>
      </c>
      <c r="N183" s="12" t="s">
        <v>2605</v>
      </c>
      <c r="O183" s="12" t="s">
        <v>2622</v>
      </c>
      <c r="P183" s="14" t="s">
        <v>2607</v>
      </c>
      <c r="Q183">
        <v>1</v>
      </c>
      <c r="R183" s="20"/>
    </row>
    <row r="184" spans="1:18" ht="20.100000000000001" customHeight="1">
      <c r="A184" s="7">
        <v>179</v>
      </c>
      <c r="B184" s="8">
        <v>3204072006</v>
      </c>
      <c r="C184" s="9" t="s">
        <v>872</v>
      </c>
      <c r="D184" s="10" t="s">
        <v>18</v>
      </c>
      <c r="E184" s="11" t="s">
        <v>873</v>
      </c>
      <c r="F184" s="11" t="s">
        <v>874</v>
      </c>
      <c r="G184" s="9" t="s">
        <v>875</v>
      </c>
      <c r="H184" s="9" t="s">
        <v>853</v>
      </c>
      <c r="I184" s="9" t="s">
        <v>222</v>
      </c>
      <c r="J184" s="9" t="s">
        <v>100</v>
      </c>
      <c r="K184" s="12" t="s">
        <v>19</v>
      </c>
      <c r="L184" s="13" t="s">
        <v>20</v>
      </c>
      <c r="M184" s="12" t="s">
        <v>2604</v>
      </c>
      <c r="N184" s="12" t="s">
        <v>2605</v>
      </c>
      <c r="O184" s="12" t="s">
        <v>2619</v>
      </c>
      <c r="P184" s="14" t="s">
        <v>2610</v>
      </c>
      <c r="Q184">
        <v>1</v>
      </c>
      <c r="R184" s="20"/>
    </row>
    <row r="185" spans="1:18" ht="20.100000000000001" customHeight="1">
      <c r="A185" s="7">
        <v>180</v>
      </c>
      <c r="B185" s="8">
        <v>3204072006</v>
      </c>
      <c r="C185" s="9" t="s">
        <v>876</v>
      </c>
      <c r="D185" s="10" t="s">
        <v>18</v>
      </c>
      <c r="E185" s="11" t="s">
        <v>877</v>
      </c>
      <c r="F185" s="11" t="s">
        <v>878</v>
      </c>
      <c r="G185" s="9" t="s">
        <v>879</v>
      </c>
      <c r="H185" s="9" t="s">
        <v>853</v>
      </c>
      <c r="I185" s="9" t="s">
        <v>222</v>
      </c>
      <c r="J185" s="9" t="s">
        <v>100</v>
      </c>
      <c r="K185" s="12" t="s">
        <v>19</v>
      </c>
      <c r="L185" s="13" t="s">
        <v>20</v>
      </c>
      <c r="M185" s="12" t="s">
        <v>2604</v>
      </c>
      <c r="N185" s="12" t="s">
        <v>2605</v>
      </c>
      <c r="O185" s="12" t="s">
        <v>2606</v>
      </c>
      <c r="P185" s="14" t="s">
        <v>2607</v>
      </c>
      <c r="Q185">
        <v>1</v>
      </c>
      <c r="R185" s="20"/>
    </row>
    <row r="186" spans="1:18" ht="20.100000000000001" customHeight="1">
      <c r="A186" s="7">
        <v>181</v>
      </c>
      <c r="B186" s="8">
        <v>3204072006</v>
      </c>
      <c r="C186" s="9" t="s">
        <v>33</v>
      </c>
      <c r="D186" s="10" t="s">
        <v>18</v>
      </c>
      <c r="E186" s="11" t="s">
        <v>880</v>
      </c>
      <c r="F186" s="11" t="s">
        <v>881</v>
      </c>
      <c r="G186" s="9" t="s">
        <v>882</v>
      </c>
      <c r="H186" s="9" t="s">
        <v>853</v>
      </c>
      <c r="I186" s="9" t="s">
        <v>222</v>
      </c>
      <c r="J186" s="9" t="s">
        <v>100</v>
      </c>
      <c r="K186" s="12" t="s">
        <v>19</v>
      </c>
      <c r="L186" s="13" t="s">
        <v>20</v>
      </c>
      <c r="M186" s="12" t="s">
        <v>2604</v>
      </c>
      <c r="N186" s="12" t="s">
        <v>2605</v>
      </c>
      <c r="O186" s="12" t="s">
        <v>2616</v>
      </c>
      <c r="P186" s="14" t="s">
        <v>2607</v>
      </c>
      <c r="Q186">
        <v>1</v>
      </c>
      <c r="R186" s="20"/>
    </row>
    <row r="187" spans="1:18" ht="20.100000000000001" customHeight="1">
      <c r="A187" s="7">
        <v>182</v>
      </c>
      <c r="B187" s="8">
        <v>3204072006</v>
      </c>
      <c r="C187" s="9" t="s">
        <v>66</v>
      </c>
      <c r="D187" s="10" t="s">
        <v>18</v>
      </c>
      <c r="E187" s="11" t="s">
        <v>883</v>
      </c>
      <c r="F187" s="11" t="s">
        <v>884</v>
      </c>
      <c r="G187" s="9" t="s">
        <v>885</v>
      </c>
      <c r="H187" s="9" t="s">
        <v>853</v>
      </c>
      <c r="I187" s="9" t="s">
        <v>222</v>
      </c>
      <c r="J187" s="9" t="s">
        <v>100</v>
      </c>
      <c r="K187" s="12" t="s">
        <v>19</v>
      </c>
      <c r="L187" s="13" t="s">
        <v>20</v>
      </c>
      <c r="M187" s="12" t="s">
        <v>2604</v>
      </c>
      <c r="N187" s="12" t="s">
        <v>2605</v>
      </c>
      <c r="O187" s="12" t="s">
        <v>2616</v>
      </c>
      <c r="P187" s="14" t="s">
        <v>2607</v>
      </c>
      <c r="Q187">
        <v>1</v>
      </c>
      <c r="R187" s="20"/>
    </row>
    <row r="188" spans="1:18" ht="20.100000000000001" customHeight="1">
      <c r="A188" s="7">
        <v>183</v>
      </c>
      <c r="B188" s="8">
        <v>3204072006</v>
      </c>
      <c r="C188" s="9" t="s">
        <v>886</v>
      </c>
      <c r="D188" s="10" t="s">
        <v>22</v>
      </c>
      <c r="E188" s="11" t="s">
        <v>887</v>
      </c>
      <c r="F188" s="11" t="s">
        <v>888</v>
      </c>
      <c r="G188" s="9" t="s">
        <v>889</v>
      </c>
      <c r="H188" s="9" t="s">
        <v>853</v>
      </c>
      <c r="I188" s="9" t="s">
        <v>222</v>
      </c>
      <c r="J188" s="9" t="s">
        <v>100</v>
      </c>
      <c r="K188" s="12" t="s">
        <v>19</v>
      </c>
      <c r="L188" s="13" t="s">
        <v>20</v>
      </c>
      <c r="M188" s="12" t="s">
        <v>2604</v>
      </c>
      <c r="N188" s="12" t="s">
        <v>2605</v>
      </c>
      <c r="O188" s="12" t="s">
        <v>2612</v>
      </c>
      <c r="P188" s="14" t="s">
        <v>2613</v>
      </c>
      <c r="Q188">
        <v>1</v>
      </c>
      <c r="R188" s="20"/>
    </row>
    <row r="189" spans="1:18" ht="20.100000000000001" customHeight="1">
      <c r="A189" s="7">
        <v>184</v>
      </c>
      <c r="B189" s="8">
        <v>3204072006</v>
      </c>
      <c r="C189" s="9" t="s">
        <v>38</v>
      </c>
      <c r="D189" s="10" t="s">
        <v>18</v>
      </c>
      <c r="E189" s="11" t="s">
        <v>890</v>
      </c>
      <c r="F189" s="11" t="s">
        <v>891</v>
      </c>
      <c r="G189" s="9" t="s">
        <v>892</v>
      </c>
      <c r="H189" s="9" t="s">
        <v>853</v>
      </c>
      <c r="I189" s="9" t="s">
        <v>222</v>
      </c>
      <c r="J189" s="9" t="s">
        <v>100</v>
      </c>
      <c r="K189" s="12" t="s">
        <v>19</v>
      </c>
      <c r="L189" s="13" t="s">
        <v>20</v>
      </c>
      <c r="M189" s="12" t="s">
        <v>2604</v>
      </c>
      <c r="N189" s="12" t="s">
        <v>2605</v>
      </c>
      <c r="O189" s="12" t="s">
        <v>2611</v>
      </c>
      <c r="P189" s="14" t="s">
        <v>2607</v>
      </c>
      <c r="Q189">
        <v>1</v>
      </c>
      <c r="R189" s="20"/>
    </row>
    <row r="190" spans="1:18" ht="20.100000000000001" customHeight="1">
      <c r="A190" s="7">
        <v>185</v>
      </c>
      <c r="B190" s="8">
        <v>3204072006</v>
      </c>
      <c r="C190" s="9" t="s">
        <v>893</v>
      </c>
      <c r="D190" s="10" t="s">
        <v>22</v>
      </c>
      <c r="E190" s="11" t="s">
        <v>894</v>
      </c>
      <c r="F190" s="11" t="s">
        <v>895</v>
      </c>
      <c r="G190" s="9" t="s">
        <v>896</v>
      </c>
      <c r="H190" s="9" t="s">
        <v>853</v>
      </c>
      <c r="I190" s="9" t="s">
        <v>222</v>
      </c>
      <c r="J190" s="9" t="s">
        <v>100</v>
      </c>
      <c r="K190" s="12" t="s">
        <v>19</v>
      </c>
      <c r="L190" s="13" t="s">
        <v>20</v>
      </c>
      <c r="M190" s="12" t="s">
        <v>2604</v>
      </c>
      <c r="N190" s="12" t="s">
        <v>2605</v>
      </c>
      <c r="O190" s="12" t="s">
        <v>2616</v>
      </c>
      <c r="P190" s="14" t="s">
        <v>2607</v>
      </c>
      <c r="Q190">
        <v>1</v>
      </c>
      <c r="R190" s="20"/>
    </row>
    <row r="191" spans="1:18" ht="20.100000000000001" customHeight="1">
      <c r="A191" s="7">
        <v>186</v>
      </c>
      <c r="B191" s="8">
        <v>3204072006</v>
      </c>
      <c r="C191" s="9" t="s">
        <v>897</v>
      </c>
      <c r="D191" s="10" t="s">
        <v>22</v>
      </c>
      <c r="E191" s="11" t="s">
        <v>898</v>
      </c>
      <c r="F191" s="11" t="s">
        <v>899</v>
      </c>
      <c r="G191" s="9" t="s">
        <v>900</v>
      </c>
      <c r="H191" s="9" t="s">
        <v>853</v>
      </c>
      <c r="I191" s="9" t="s">
        <v>222</v>
      </c>
      <c r="J191" s="9" t="s">
        <v>100</v>
      </c>
      <c r="K191" s="12" t="s">
        <v>19</v>
      </c>
      <c r="L191" s="13" t="s">
        <v>20</v>
      </c>
      <c r="M191" s="12" t="s">
        <v>2604</v>
      </c>
      <c r="N191" s="12" t="s">
        <v>2605</v>
      </c>
      <c r="O191" s="12" t="s">
        <v>2627</v>
      </c>
      <c r="P191" s="14" t="s">
        <v>2610</v>
      </c>
      <c r="Q191">
        <v>1</v>
      </c>
      <c r="R191" s="20"/>
    </row>
    <row r="192" spans="1:18" ht="20.100000000000001" customHeight="1">
      <c r="A192" s="7">
        <v>187</v>
      </c>
      <c r="B192" s="8">
        <v>3204072006</v>
      </c>
      <c r="C192" s="9" t="s">
        <v>901</v>
      </c>
      <c r="D192" s="10" t="s">
        <v>22</v>
      </c>
      <c r="E192" s="11" t="s">
        <v>902</v>
      </c>
      <c r="F192" s="11" t="s">
        <v>903</v>
      </c>
      <c r="G192" s="9" t="s">
        <v>904</v>
      </c>
      <c r="H192" s="9" t="s">
        <v>853</v>
      </c>
      <c r="I192" s="9" t="s">
        <v>222</v>
      </c>
      <c r="J192" s="9" t="s">
        <v>100</v>
      </c>
      <c r="K192" s="12" t="s">
        <v>19</v>
      </c>
      <c r="L192" s="13" t="s">
        <v>20</v>
      </c>
      <c r="M192" s="12" t="s">
        <v>2604</v>
      </c>
      <c r="N192" s="12" t="s">
        <v>2605</v>
      </c>
      <c r="O192" s="12" t="s">
        <v>2619</v>
      </c>
      <c r="P192" s="14" t="s">
        <v>2610</v>
      </c>
      <c r="Q192">
        <v>1</v>
      </c>
      <c r="R192" s="20"/>
    </row>
    <row r="193" spans="1:18" ht="20.100000000000001" customHeight="1">
      <c r="A193" s="7">
        <v>188</v>
      </c>
      <c r="B193" s="8">
        <v>3204052001</v>
      </c>
      <c r="C193" s="9" t="s">
        <v>905</v>
      </c>
      <c r="D193" s="10" t="s">
        <v>18</v>
      </c>
      <c r="E193" s="11" t="s">
        <v>906</v>
      </c>
      <c r="F193" s="11" t="s">
        <v>907</v>
      </c>
      <c r="G193" s="9" t="s">
        <v>908</v>
      </c>
      <c r="H193" s="9" t="s">
        <v>909</v>
      </c>
      <c r="I193" s="9" t="s">
        <v>224</v>
      </c>
      <c r="J193" s="9" t="s">
        <v>100</v>
      </c>
      <c r="K193" s="12" t="s">
        <v>19</v>
      </c>
      <c r="L193" s="13" t="s">
        <v>20</v>
      </c>
      <c r="M193" s="12" t="s">
        <v>2604</v>
      </c>
      <c r="N193" s="12" t="s">
        <v>2605</v>
      </c>
      <c r="O193" s="12" t="s">
        <v>195</v>
      </c>
      <c r="P193" s="14" t="s">
        <v>2621</v>
      </c>
      <c r="Q193">
        <v>1</v>
      </c>
      <c r="R193" s="20">
        <f>SUM(Q193:Q207)</f>
        <v>15</v>
      </c>
    </row>
    <row r="194" spans="1:18" ht="20.100000000000001" customHeight="1">
      <c r="A194" s="7">
        <v>189</v>
      </c>
      <c r="B194" s="8">
        <v>3204052001</v>
      </c>
      <c r="C194" s="9" t="s">
        <v>910</v>
      </c>
      <c r="D194" s="10" t="s">
        <v>18</v>
      </c>
      <c r="E194" s="11" t="s">
        <v>911</v>
      </c>
      <c r="F194" s="11" t="s">
        <v>912</v>
      </c>
      <c r="G194" s="9" t="s">
        <v>913</v>
      </c>
      <c r="H194" s="9" t="s">
        <v>909</v>
      </c>
      <c r="I194" s="9" t="s">
        <v>224</v>
      </c>
      <c r="J194" s="9" t="s">
        <v>100</v>
      </c>
      <c r="K194" s="12" t="s">
        <v>19</v>
      </c>
      <c r="L194" s="13" t="s">
        <v>20</v>
      </c>
      <c r="M194" s="12" t="s">
        <v>2604</v>
      </c>
      <c r="N194" s="12" t="s">
        <v>2605</v>
      </c>
      <c r="O194" s="12" t="s">
        <v>195</v>
      </c>
      <c r="P194" s="14" t="s">
        <v>2621</v>
      </c>
      <c r="Q194">
        <v>1</v>
      </c>
      <c r="R194" s="20"/>
    </row>
    <row r="195" spans="1:18" ht="20.100000000000001" customHeight="1">
      <c r="A195" s="7">
        <v>190</v>
      </c>
      <c r="B195" s="8">
        <v>3204052001</v>
      </c>
      <c r="C195" s="9" t="s">
        <v>914</v>
      </c>
      <c r="D195" s="10" t="s">
        <v>22</v>
      </c>
      <c r="E195" s="11" t="s">
        <v>915</v>
      </c>
      <c r="F195" s="11" t="s">
        <v>916</v>
      </c>
      <c r="G195" s="9" t="s">
        <v>917</v>
      </c>
      <c r="H195" s="9" t="s">
        <v>909</v>
      </c>
      <c r="I195" s="9" t="s">
        <v>224</v>
      </c>
      <c r="J195" s="9" t="s">
        <v>100</v>
      </c>
      <c r="K195" s="12" t="s">
        <v>19</v>
      </c>
      <c r="L195" s="13" t="s">
        <v>20</v>
      </c>
      <c r="M195" s="12" t="s">
        <v>2604</v>
      </c>
      <c r="N195" s="12" t="s">
        <v>2605</v>
      </c>
      <c r="O195" s="12" t="s">
        <v>2611</v>
      </c>
      <c r="P195" s="14" t="s">
        <v>2607</v>
      </c>
      <c r="Q195">
        <v>1</v>
      </c>
      <c r="R195" s="20"/>
    </row>
    <row r="196" spans="1:18" ht="20.100000000000001" customHeight="1">
      <c r="A196" s="7">
        <v>191</v>
      </c>
      <c r="B196" s="8">
        <v>3204052001</v>
      </c>
      <c r="C196" s="9" t="s">
        <v>918</v>
      </c>
      <c r="D196" s="10" t="s">
        <v>22</v>
      </c>
      <c r="E196" s="11" t="s">
        <v>919</v>
      </c>
      <c r="F196" s="11" t="s">
        <v>920</v>
      </c>
      <c r="G196" s="9" t="s">
        <v>921</v>
      </c>
      <c r="H196" s="9" t="s">
        <v>909</v>
      </c>
      <c r="I196" s="9" t="s">
        <v>224</v>
      </c>
      <c r="J196" s="9" t="s">
        <v>100</v>
      </c>
      <c r="K196" s="12" t="s">
        <v>19</v>
      </c>
      <c r="L196" s="13" t="s">
        <v>20</v>
      </c>
      <c r="M196" s="12" t="s">
        <v>2604</v>
      </c>
      <c r="N196" s="12" t="s">
        <v>2605</v>
      </c>
      <c r="O196" s="12" t="s">
        <v>2606</v>
      </c>
      <c r="P196" s="14" t="s">
        <v>2607</v>
      </c>
      <c r="Q196">
        <v>1</v>
      </c>
      <c r="R196" s="20"/>
    </row>
    <row r="197" spans="1:18" ht="20.100000000000001" customHeight="1">
      <c r="A197" s="7">
        <v>192</v>
      </c>
      <c r="B197" s="8">
        <v>3204052001</v>
      </c>
      <c r="C197" s="9" t="s">
        <v>164</v>
      </c>
      <c r="D197" s="10" t="s">
        <v>22</v>
      </c>
      <c r="E197" s="11" t="s">
        <v>922</v>
      </c>
      <c r="F197" s="11" t="s">
        <v>923</v>
      </c>
      <c r="G197" s="9" t="s">
        <v>924</v>
      </c>
      <c r="H197" s="9" t="s">
        <v>909</v>
      </c>
      <c r="I197" s="9" t="s">
        <v>224</v>
      </c>
      <c r="J197" s="9" t="s">
        <v>100</v>
      </c>
      <c r="K197" s="12" t="s">
        <v>19</v>
      </c>
      <c r="L197" s="13" t="s">
        <v>20</v>
      </c>
      <c r="M197" s="12" t="s">
        <v>2604</v>
      </c>
      <c r="N197" s="12" t="s">
        <v>2605</v>
      </c>
      <c r="O197" s="12" t="s">
        <v>2619</v>
      </c>
      <c r="P197" s="14" t="s">
        <v>2610</v>
      </c>
      <c r="Q197">
        <v>1</v>
      </c>
      <c r="R197" s="20"/>
    </row>
    <row r="198" spans="1:18" ht="20.100000000000001" customHeight="1">
      <c r="A198" s="7">
        <v>193</v>
      </c>
      <c r="B198" s="8">
        <v>3204052001</v>
      </c>
      <c r="C198" s="9" t="s">
        <v>64</v>
      </c>
      <c r="D198" s="10" t="s">
        <v>18</v>
      </c>
      <c r="E198" s="11" t="s">
        <v>925</v>
      </c>
      <c r="F198" s="11" t="s">
        <v>926</v>
      </c>
      <c r="G198" s="9" t="s">
        <v>927</v>
      </c>
      <c r="H198" s="9" t="s">
        <v>909</v>
      </c>
      <c r="I198" s="9" t="s">
        <v>224</v>
      </c>
      <c r="J198" s="9" t="s">
        <v>100</v>
      </c>
      <c r="K198" s="12" t="s">
        <v>19</v>
      </c>
      <c r="L198" s="13" t="s">
        <v>20</v>
      </c>
      <c r="M198" s="12" t="s">
        <v>2604</v>
      </c>
      <c r="N198" s="12" t="s">
        <v>2605</v>
      </c>
      <c r="O198" s="12" t="s">
        <v>2606</v>
      </c>
      <c r="P198" s="14" t="s">
        <v>2607</v>
      </c>
      <c r="Q198">
        <v>1</v>
      </c>
      <c r="R198" s="20"/>
    </row>
    <row r="199" spans="1:18" ht="20.100000000000001" customHeight="1">
      <c r="A199" s="7">
        <v>194</v>
      </c>
      <c r="B199" s="8">
        <v>3204052001</v>
      </c>
      <c r="C199" s="9" t="s">
        <v>35</v>
      </c>
      <c r="D199" s="10" t="s">
        <v>18</v>
      </c>
      <c r="E199" s="11" t="s">
        <v>928</v>
      </c>
      <c r="F199" s="11" t="s">
        <v>929</v>
      </c>
      <c r="G199" s="9" t="s">
        <v>930</v>
      </c>
      <c r="H199" s="9" t="s">
        <v>909</v>
      </c>
      <c r="I199" s="9" t="s">
        <v>224</v>
      </c>
      <c r="J199" s="9" t="s">
        <v>100</v>
      </c>
      <c r="K199" s="12" t="s">
        <v>19</v>
      </c>
      <c r="L199" s="13" t="s">
        <v>20</v>
      </c>
      <c r="M199" s="12" t="s">
        <v>2604</v>
      </c>
      <c r="N199" s="12" t="s">
        <v>2605</v>
      </c>
      <c r="O199" s="12" t="s">
        <v>2629</v>
      </c>
      <c r="P199" s="14" t="s">
        <v>2630</v>
      </c>
      <c r="Q199">
        <v>1</v>
      </c>
      <c r="R199" s="20"/>
    </row>
    <row r="200" spans="1:18" ht="20.100000000000001" customHeight="1">
      <c r="A200" s="7">
        <v>195</v>
      </c>
      <c r="B200" s="8">
        <v>3204052001</v>
      </c>
      <c r="C200" s="9" t="s">
        <v>227</v>
      </c>
      <c r="D200" s="10" t="s">
        <v>18</v>
      </c>
      <c r="E200" s="11" t="s">
        <v>931</v>
      </c>
      <c r="F200" s="11" t="s">
        <v>932</v>
      </c>
      <c r="G200" s="9" t="s">
        <v>933</v>
      </c>
      <c r="H200" s="9" t="s">
        <v>909</v>
      </c>
      <c r="I200" s="9" t="s">
        <v>224</v>
      </c>
      <c r="J200" s="9" t="s">
        <v>100</v>
      </c>
      <c r="K200" s="12" t="s">
        <v>19</v>
      </c>
      <c r="L200" s="13" t="s">
        <v>20</v>
      </c>
      <c r="M200" s="12" t="s">
        <v>2604</v>
      </c>
      <c r="N200" s="12" t="s">
        <v>2605</v>
      </c>
      <c r="O200" s="12" t="s">
        <v>2611</v>
      </c>
      <c r="P200" s="14" t="s">
        <v>2607</v>
      </c>
      <c r="Q200">
        <v>1</v>
      </c>
      <c r="R200" s="20"/>
    </row>
    <row r="201" spans="1:18" ht="20.100000000000001" customHeight="1">
      <c r="A201" s="7">
        <v>196</v>
      </c>
      <c r="B201" s="8">
        <v>3204052001</v>
      </c>
      <c r="C201" s="9" t="s">
        <v>934</v>
      </c>
      <c r="D201" s="10" t="s">
        <v>22</v>
      </c>
      <c r="E201" s="11" t="s">
        <v>935</v>
      </c>
      <c r="F201" s="11" t="s">
        <v>936</v>
      </c>
      <c r="G201" s="9" t="s">
        <v>937</v>
      </c>
      <c r="H201" s="9" t="s">
        <v>909</v>
      </c>
      <c r="I201" s="9" t="s">
        <v>224</v>
      </c>
      <c r="J201" s="9" t="s">
        <v>100</v>
      </c>
      <c r="K201" s="12" t="s">
        <v>19</v>
      </c>
      <c r="L201" s="13" t="s">
        <v>20</v>
      </c>
      <c r="M201" s="12" t="s">
        <v>2604</v>
      </c>
      <c r="N201" s="12" t="s">
        <v>2605</v>
      </c>
      <c r="O201" s="12" t="s">
        <v>2616</v>
      </c>
      <c r="P201" s="14" t="s">
        <v>2607</v>
      </c>
      <c r="Q201">
        <v>1</v>
      </c>
      <c r="R201" s="20"/>
    </row>
    <row r="202" spans="1:18" ht="20.100000000000001" customHeight="1">
      <c r="A202" s="7">
        <v>197</v>
      </c>
      <c r="B202" s="8">
        <v>3204052001</v>
      </c>
      <c r="C202" s="9" t="s">
        <v>938</v>
      </c>
      <c r="D202" s="10" t="s">
        <v>22</v>
      </c>
      <c r="E202" s="11" t="s">
        <v>939</v>
      </c>
      <c r="F202" s="11" t="s">
        <v>940</v>
      </c>
      <c r="G202" s="9" t="s">
        <v>941</v>
      </c>
      <c r="H202" s="9" t="s">
        <v>909</v>
      </c>
      <c r="I202" s="9" t="s">
        <v>224</v>
      </c>
      <c r="J202" s="9" t="s">
        <v>100</v>
      </c>
      <c r="K202" s="12" t="s">
        <v>19</v>
      </c>
      <c r="L202" s="13" t="s">
        <v>20</v>
      </c>
      <c r="M202" s="12" t="s">
        <v>2604</v>
      </c>
      <c r="N202" s="12" t="s">
        <v>2605</v>
      </c>
      <c r="O202" s="12" t="s">
        <v>2612</v>
      </c>
      <c r="P202" s="14" t="s">
        <v>2613</v>
      </c>
      <c r="Q202">
        <v>1</v>
      </c>
      <c r="R202" s="20"/>
    </row>
    <row r="203" spans="1:18" ht="20.100000000000001" customHeight="1">
      <c r="A203" s="7">
        <v>198</v>
      </c>
      <c r="B203" s="8">
        <v>3204052001</v>
      </c>
      <c r="C203" s="9" t="s">
        <v>942</v>
      </c>
      <c r="D203" s="10" t="s">
        <v>18</v>
      </c>
      <c r="E203" s="11" t="s">
        <v>943</v>
      </c>
      <c r="F203" s="11" t="s">
        <v>944</v>
      </c>
      <c r="G203" s="9" t="s">
        <v>945</v>
      </c>
      <c r="H203" s="9" t="s">
        <v>909</v>
      </c>
      <c r="I203" s="9" t="s">
        <v>224</v>
      </c>
      <c r="J203" s="9" t="s">
        <v>100</v>
      </c>
      <c r="K203" s="12" t="s">
        <v>19</v>
      </c>
      <c r="L203" s="13" t="s">
        <v>20</v>
      </c>
      <c r="M203" s="12" t="s">
        <v>2604</v>
      </c>
      <c r="N203" s="12" t="s">
        <v>2605</v>
      </c>
      <c r="O203" s="12" t="s">
        <v>2608</v>
      </c>
      <c r="P203" s="14" t="s">
        <v>2607</v>
      </c>
      <c r="Q203">
        <v>1</v>
      </c>
      <c r="R203" s="20"/>
    </row>
    <row r="204" spans="1:18" ht="20.100000000000001" customHeight="1">
      <c r="A204" s="7">
        <v>199</v>
      </c>
      <c r="B204" s="8">
        <v>3204052001</v>
      </c>
      <c r="C204" s="9" t="s">
        <v>946</v>
      </c>
      <c r="D204" s="10" t="s">
        <v>22</v>
      </c>
      <c r="E204" s="11" t="s">
        <v>947</v>
      </c>
      <c r="F204" s="11" t="s">
        <v>948</v>
      </c>
      <c r="G204" s="9" t="s">
        <v>949</v>
      </c>
      <c r="H204" s="9" t="s">
        <v>909</v>
      </c>
      <c r="I204" s="9" t="s">
        <v>224</v>
      </c>
      <c r="J204" s="9" t="s">
        <v>100</v>
      </c>
      <c r="K204" s="12" t="s">
        <v>19</v>
      </c>
      <c r="L204" s="13" t="s">
        <v>20</v>
      </c>
      <c r="M204" s="12" t="s">
        <v>2604</v>
      </c>
      <c r="N204" s="12" t="s">
        <v>2605</v>
      </c>
      <c r="O204" s="12" t="s">
        <v>2622</v>
      </c>
      <c r="P204" s="14" t="s">
        <v>2607</v>
      </c>
      <c r="Q204">
        <v>1</v>
      </c>
      <c r="R204" s="20"/>
    </row>
    <row r="205" spans="1:18" ht="20.100000000000001" customHeight="1">
      <c r="A205" s="7">
        <v>200</v>
      </c>
      <c r="B205" s="8">
        <v>3204052001</v>
      </c>
      <c r="C205" s="9" t="s">
        <v>950</v>
      </c>
      <c r="D205" s="10" t="s">
        <v>22</v>
      </c>
      <c r="E205" s="11" t="s">
        <v>951</v>
      </c>
      <c r="F205" s="11" t="s">
        <v>952</v>
      </c>
      <c r="G205" s="9" t="s">
        <v>953</v>
      </c>
      <c r="H205" s="9" t="s">
        <v>909</v>
      </c>
      <c r="I205" s="9" t="s">
        <v>224</v>
      </c>
      <c r="J205" s="9" t="s">
        <v>100</v>
      </c>
      <c r="K205" s="12" t="s">
        <v>19</v>
      </c>
      <c r="L205" s="13" t="s">
        <v>20</v>
      </c>
      <c r="M205" s="12" t="s">
        <v>2604</v>
      </c>
      <c r="N205" s="12" t="s">
        <v>2605</v>
      </c>
      <c r="O205" s="12" t="s">
        <v>2611</v>
      </c>
      <c r="P205" s="14" t="s">
        <v>2607</v>
      </c>
      <c r="Q205">
        <v>1</v>
      </c>
      <c r="R205" s="20"/>
    </row>
    <row r="206" spans="1:18" ht="20.100000000000001" customHeight="1">
      <c r="A206" s="7">
        <v>201</v>
      </c>
      <c r="B206" s="8">
        <v>3204052001</v>
      </c>
      <c r="C206" s="9" t="s">
        <v>954</v>
      </c>
      <c r="D206" s="10" t="s">
        <v>22</v>
      </c>
      <c r="E206" s="11" t="s">
        <v>955</v>
      </c>
      <c r="F206" s="11" t="s">
        <v>956</v>
      </c>
      <c r="G206" s="9" t="s">
        <v>957</v>
      </c>
      <c r="H206" s="9" t="s">
        <v>909</v>
      </c>
      <c r="I206" s="9" t="s">
        <v>224</v>
      </c>
      <c r="J206" s="9" t="s">
        <v>100</v>
      </c>
      <c r="K206" s="12" t="s">
        <v>19</v>
      </c>
      <c r="L206" s="13" t="s">
        <v>20</v>
      </c>
      <c r="M206" s="12" t="s">
        <v>2604</v>
      </c>
      <c r="N206" s="12" t="s">
        <v>2605</v>
      </c>
      <c r="O206" s="12" t="s">
        <v>2608</v>
      </c>
      <c r="P206" s="14" t="s">
        <v>2607</v>
      </c>
      <c r="Q206">
        <v>1</v>
      </c>
      <c r="R206" s="20"/>
    </row>
    <row r="207" spans="1:18" ht="20.100000000000001" customHeight="1">
      <c r="A207" s="7">
        <v>202</v>
      </c>
      <c r="B207" s="8">
        <v>3204052001</v>
      </c>
      <c r="C207" s="9" t="s">
        <v>958</v>
      </c>
      <c r="D207" s="10" t="s">
        <v>22</v>
      </c>
      <c r="E207" s="11" t="s">
        <v>959</v>
      </c>
      <c r="F207" s="11" t="s">
        <v>960</v>
      </c>
      <c r="G207" s="9" t="s">
        <v>961</v>
      </c>
      <c r="H207" s="9" t="s">
        <v>909</v>
      </c>
      <c r="I207" s="9" t="s">
        <v>224</v>
      </c>
      <c r="J207" s="9" t="s">
        <v>100</v>
      </c>
      <c r="K207" s="12" t="s">
        <v>19</v>
      </c>
      <c r="L207" s="13" t="s">
        <v>20</v>
      </c>
      <c r="M207" s="12" t="s">
        <v>2604</v>
      </c>
      <c r="N207" s="12" t="s">
        <v>2605</v>
      </c>
      <c r="O207" s="12" t="s">
        <v>2622</v>
      </c>
      <c r="P207" s="14" t="s">
        <v>2607</v>
      </c>
      <c r="Q207">
        <v>1</v>
      </c>
      <c r="R207" s="20"/>
    </row>
    <row r="208" spans="1:18" ht="20.100000000000001" customHeight="1">
      <c r="A208" s="7">
        <v>203</v>
      </c>
      <c r="B208" s="8">
        <v>3204172003</v>
      </c>
      <c r="C208" s="9" t="s">
        <v>169</v>
      </c>
      <c r="D208" s="10" t="s">
        <v>22</v>
      </c>
      <c r="E208" s="11" t="s">
        <v>962</v>
      </c>
      <c r="F208" s="11" t="s">
        <v>963</v>
      </c>
      <c r="G208" s="9" t="s">
        <v>964</v>
      </c>
      <c r="H208" s="9" t="s">
        <v>965</v>
      </c>
      <c r="I208" s="9" t="s">
        <v>193</v>
      </c>
      <c r="J208" s="9" t="s">
        <v>100</v>
      </c>
      <c r="K208" s="12" t="s">
        <v>19</v>
      </c>
      <c r="L208" s="13" t="s">
        <v>20</v>
      </c>
      <c r="M208" s="12" t="s">
        <v>2604</v>
      </c>
      <c r="N208" s="12" t="s">
        <v>2605</v>
      </c>
      <c r="O208" s="12" t="s">
        <v>2616</v>
      </c>
      <c r="P208" s="14" t="s">
        <v>2607</v>
      </c>
      <c r="Q208">
        <v>1</v>
      </c>
      <c r="R208" s="20">
        <f>SUM(Q208:Q223)</f>
        <v>16</v>
      </c>
    </row>
    <row r="209" spans="1:18" ht="20.100000000000001" customHeight="1">
      <c r="A209" s="7">
        <v>204</v>
      </c>
      <c r="B209" s="8">
        <v>3204172003</v>
      </c>
      <c r="C209" s="9" t="s">
        <v>966</v>
      </c>
      <c r="D209" s="10" t="s">
        <v>18</v>
      </c>
      <c r="E209" s="11" t="s">
        <v>967</v>
      </c>
      <c r="F209" s="11" t="s">
        <v>968</v>
      </c>
      <c r="G209" s="9" t="s">
        <v>969</v>
      </c>
      <c r="H209" s="9" t="s">
        <v>965</v>
      </c>
      <c r="I209" s="9" t="s">
        <v>193</v>
      </c>
      <c r="J209" s="9" t="s">
        <v>100</v>
      </c>
      <c r="K209" s="12" t="s">
        <v>19</v>
      </c>
      <c r="L209" s="13" t="s">
        <v>20</v>
      </c>
      <c r="M209" s="12" t="s">
        <v>2604</v>
      </c>
      <c r="N209" s="12" t="s">
        <v>2605</v>
      </c>
      <c r="O209" s="12" t="s">
        <v>2628</v>
      </c>
      <c r="P209" s="14" t="s">
        <v>2615</v>
      </c>
      <c r="Q209">
        <v>1</v>
      </c>
      <c r="R209" s="20"/>
    </row>
    <row r="210" spans="1:18" ht="20.100000000000001" customHeight="1">
      <c r="A210" s="7">
        <v>205</v>
      </c>
      <c r="B210" s="8">
        <v>3204172003</v>
      </c>
      <c r="C210" s="9" t="s">
        <v>372</v>
      </c>
      <c r="D210" s="10" t="s">
        <v>22</v>
      </c>
      <c r="E210" s="11" t="s">
        <v>970</v>
      </c>
      <c r="F210" s="11" t="s">
        <v>971</v>
      </c>
      <c r="G210" s="9" t="s">
        <v>972</v>
      </c>
      <c r="H210" s="9" t="s">
        <v>965</v>
      </c>
      <c r="I210" s="9" t="s">
        <v>193</v>
      </c>
      <c r="J210" s="9" t="s">
        <v>100</v>
      </c>
      <c r="K210" s="12" t="s">
        <v>19</v>
      </c>
      <c r="L210" s="13" t="s">
        <v>20</v>
      </c>
      <c r="M210" s="12" t="s">
        <v>2604</v>
      </c>
      <c r="N210" s="12" t="s">
        <v>2605</v>
      </c>
      <c r="O210" s="12" t="s">
        <v>2611</v>
      </c>
      <c r="P210" s="14" t="s">
        <v>2607</v>
      </c>
      <c r="Q210">
        <v>1</v>
      </c>
      <c r="R210" s="20"/>
    </row>
    <row r="211" spans="1:18" ht="20.100000000000001" customHeight="1">
      <c r="A211" s="7">
        <v>206</v>
      </c>
      <c r="B211" s="8">
        <v>3204172003</v>
      </c>
      <c r="C211" s="9" t="s">
        <v>973</v>
      </c>
      <c r="D211" s="10" t="s">
        <v>22</v>
      </c>
      <c r="E211" s="11" t="s">
        <v>974</v>
      </c>
      <c r="F211" s="11" t="s">
        <v>975</v>
      </c>
      <c r="G211" s="9" t="s">
        <v>976</v>
      </c>
      <c r="H211" s="9" t="s">
        <v>965</v>
      </c>
      <c r="I211" s="9" t="s">
        <v>193</v>
      </c>
      <c r="J211" s="9" t="s">
        <v>100</v>
      </c>
      <c r="K211" s="12" t="s">
        <v>19</v>
      </c>
      <c r="L211" s="13" t="s">
        <v>20</v>
      </c>
      <c r="M211" s="12" t="s">
        <v>2604</v>
      </c>
      <c r="N211" s="12" t="s">
        <v>2605</v>
      </c>
      <c r="O211" s="12" t="s">
        <v>2618</v>
      </c>
      <c r="P211" s="14" t="s">
        <v>2610</v>
      </c>
      <c r="Q211">
        <v>1</v>
      </c>
      <c r="R211" s="20"/>
    </row>
    <row r="212" spans="1:18" ht="20.100000000000001" customHeight="1">
      <c r="A212" s="7">
        <v>207</v>
      </c>
      <c r="B212" s="8">
        <v>3204172003</v>
      </c>
      <c r="C212" s="9" t="s">
        <v>977</v>
      </c>
      <c r="D212" s="10" t="s">
        <v>22</v>
      </c>
      <c r="E212" s="11" t="s">
        <v>978</v>
      </c>
      <c r="F212" s="11" t="s">
        <v>979</v>
      </c>
      <c r="G212" s="9" t="s">
        <v>980</v>
      </c>
      <c r="H212" s="9" t="s">
        <v>965</v>
      </c>
      <c r="I212" s="9" t="s">
        <v>193</v>
      </c>
      <c r="J212" s="9" t="s">
        <v>100</v>
      </c>
      <c r="K212" s="12" t="s">
        <v>19</v>
      </c>
      <c r="L212" s="13" t="s">
        <v>20</v>
      </c>
      <c r="M212" s="12" t="s">
        <v>2604</v>
      </c>
      <c r="N212" s="12" t="s">
        <v>2605</v>
      </c>
      <c r="O212" s="12" t="s">
        <v>2616</v>
      </c>
      <c r="P212" s="14" t="s">
        <v>2607</v>
      </c>
      <c r="Q212">
        <v>1</v>
      </c>
      <c r="R212" s="20"/>
    </row>
    <row r="213" spans="1:18" ht="20.100000000000001" customHeight="1">
      <c r="A213" s="7">
        <v>208</v>
      </c>
      <c r="B213" s="8">
        <v>3204172003</v>
      </c>
      <c r="C213" s="9" t="s">
        <v>981</v>
      </c>
      <c r="D213" s="10" t="s">
        <v>22</v>
      </c>
      <c r="E213" s="11" t="s">
        <v>982</v>
      </c>
      <c r="F213" s="11" t="s">
        <v>983</v>
      </c>
      <c r="G213" s="9" t="s">
        <v>984</v>
      </c>
      <c r="H213" s="9" t="s">
        <v>965</v>
      </c>
      <c r="I213" s="9" t="s">
        <v>193</v>
      </c>
      <c r="J213" s="9" t="s">
        <v>100</v>
      </c>
      <c r="K213" s="12" t="s">
        <v>19</v>
      </c>
      <c r="L213" s="13" t="s">
        <v>20</v>
      </c>
      <c r="M213" s="12" t="s">
        <v>2604</v>
      </c>
      <c r="N213" s="12" t="s">
        <v>2605</v>
      </c>
      <c r="O213" s="12" t="s">
        <v>2623</v>
      </c>
      <c r="P213" s="14" t="s">
        <v>2615</v>
      </c>
      <c r="Q213">
        <v>1</v>
      </c>
      <c r="R213" s="20"/>
    </row>
    <row r="214" spans="1:18" ht="20.100000000000001" customHeight="1">
      <c r="A214" s="7">
        <v>209</v>
      </c>
      <c r="B214" s="8">
        <v>3204172003</v>
      </c>
      <c r="C214" s="9" t="s">
        <v>176</v>
      </c>
      <c r="D214" s="10" t="s">
        <v>22</v>
      </c>
      <c r="E214" s="11" t="s">
        <v>985</v>
      </c>
      <c r="F214" s="11" t="s">
        <v>986</v>
      </c>
      <c r="G214" s="9" t="s">
        <v>987</v>
      </c>
      <c r="H214" s="9" t="s">
        <v>965</v>
      </c>
      <c r="I214" s="9" t="s">
        <v>193</v>
      </c>
      <c r="J214" s="9" t="s">
        <v>100</v>
      </c>
      <c r="K214" s="12" t="s">
        <v>19</v>
      </c>
      <c r="L214" s="13" t="s">
        <v>20</v>
      </c>
      <c r="M214" s="12" t="s">
        <v>2604</v>
      </c>
      <c r="N214" s="12" t="s">
        <v>2605</v>
      </c>
      <c r="O214" s="12" t="s">
        <v>2622</v>
      </c>
      <c r="P214" s="14" t="s">
        <v>2607</v>
      </c>
      <c r="Q214">
        <v>1</v>
      </c>
      <c r="R214" s="20"/>
    </row>
    <row r="215" spans="1:18" ht="20.100000000000001" customHeight="1">
      <c r="A215" s="7">
        <v>210</v>
      </c>
      <c r="B215" s="8">
        <v>3204172003</v>
      </c>
      <c r="C215" s="9" t="s">
        <v>91</v>
      </c>
      <c r="D215" s="10" t="s">
        <v>22</v>
      </c>
      <c r="E215" s="11" t="s">
        <v>988</v>
      </c>
      <c r="F215" s="11" t="s">
        <v>989</v>
      </c>
      <c r="G215" s="9" t="s">
        <v>990</v>
      </c>
      <c r="H215" s="9" t="s">
        <v>965</v>
      </c>
      <c r="I215" s="9" t="s">
        <v>193</v>
      </c>
      <c r="J215" s="9" t="s">
        <v>100</v>
      </c>
      <c r="K215" s="12" t="s">
        <v>19</v>
      </c>
      <c r="L215" s="13" t="s">
        <v>20</v>
      </c>
      <c r="M215" s="12" t="s">
        <v>2604</v>
      </c>
      <c r="N215" s="12" t="s">
        <v>2605</v>
      </c>
      <c r="O215" s="12" t="s">
        <v>2606</v>
      </c>
      <c r="P215" s="14" t="s">
        <v>2607</v>
      </c>
      <c r="Q215">
        <v>1</v>
      </c>
      <c r="R215" s="20"/>
    </row>
    <row r="216" spans="1:18" ht="20.100000000000001" customHeight="1">
      <c r="A216" s="7">
        <v>211</v>
      </c>
      <c r="B216" s="8">
        <v>3204172003</v>
      </c>
      <c r="C216" s="9" t="s">
        <v>991</v>
      </c>
      <c r="D216" s="10" t="s">
        <v>22</v>
      </c>
      <c r="E216" s="11" t="s">
        <v>992</v>
      </c>
      <c r="F216" s="11" t="s">
        <v>993</v>
      </c>
      <c r="G216" s="9" t="s">
        <v>987</v>
      </c>
      <c r="H216" s="9" t="s">
        <v>965</v>
      </c>
      <c r="I216" s="9" t="s">
        <v>193</v>
      </c>
      <c r="J216" s="9" t="s">
        <v>100</v>
      </c>
      <c r="K216" s="12" t="s">
        <v>19</v>
      </c>
      <c r="L216" s="13" t="s">
        <v>20</v>
      </c>
      <c r="M216" s="12" t="s">
        <v>2604</v>
      </c>
      <c r="N216" s="12" t="s">
        <v>2605</v>
      </c>
      <c r="O216" s="12" t="s">
        <v>2608</v>
      </c>
      <c r="P216" s="14" t="s">
        <v>2607</v>
      </c>
      <c r="Q216">
        <v>1</v>
      </c>
      <c r="R216" s="20"/>
    </row>
    <row r="217" spans="1:18" ht="20.100000000000001" customHeight="1">
      <c r="A217" s="7">
        <v>212</v>
      </c>
      <c r="B217" s="8">
        <v>3204172003</v>
      </c>
      <c r="C217" s="9" t="s">
        <v>145</v>
      </c>
      <c r="D217" s="10" t="s">
        <v>22</v>
      </c>
      <c r="E217" s="11" t="s">
        <v>994</v>
      </c>
      <c r="F217" s="11" t="s">
        <v>995</v>
      </c>
      <c r="G217" s="9" t="s">
        <v>996</v>
      </c>
      <c r="H217" s="9" t="s">
        <v>965</v>
      </c>
      <c r="I217" s="9" t="s">
        <v>193</v>
      </c>
      <c r="J217" s="9" t="s">
        <v>100</v>
      </c>
      <c r="K217" s="12" t="s">
        <v>19</v>
      </c>
      <c r="L217" s="13" t="s">
        <v>20</v>
      </c>
      <c r="M217" s="12" t="s">
        <v>2604</v>
      </c>
      <c r="N217" s="12" t="s">
        <v>2605</v>
      </c>
      <c r="O217" s="12" t="s">
        <v>2608</v>
      </c>
      <c r="P217" s="14" t="s">
        <v>2607</v>
      </c>
      <c r="Q217">
        <v>1</v>
      </c>
      <c r="R217" s="20"/>
    </row>
    <row r="218" spans="1:18" ht="20.100000000000001" customHeight="1">
      <c r="A218" s="7">
        <v>213</v>
      </c>
      <c r="B218" s="8">
        <v>3204172003</v>
      </c>
      <c r="C218" s="9" t="s">
        <v>997</v>
      </c>
      <c r="D218" s="10" t="s">
        <v>18</v>
      </c>
      <c r="E218" s="11" t="s">
        <v>998</v>
      </c>
      <c r="F218" s="11" t="s">
        <v>999</v>
      </c>
      <c r="G218" s="9" t="s">
        <v>1000</v>
      </c>
      <c r="H218" s="9" t="s">
        <v>965</v>
      </c>
      <c r="I218" s="9" t="s">
        <v>193</v>
      </c>
      <c r="J218" s="9" t="s">
        <v>100</v>
      </c>
      <c r="K218" s="12" t="s">
        <v>19</v>
      </c>
      <c r="L218" s="13" t="s">
        <v>20</v>
      </c>
      <c r="M218" s="12" t="s">
        <v>2604</v>
      </c>
      <c r="N218" s="12" t="s">
        <v>2605</v>
      </c>
      <c r="O218" s="12" t="s">
        <v>2616</v>
      </c>
      <c r="P218" s="14" t="s">
        <v>2607</v>
      </c>
      <c r="Q218">
        <v>1</v>
      </c>
      <c r="R218" s="20"/>
    </row>
    <row r="219" spans="1:18" ht="20.100000000000001" customHeight="1">
      <c r="A219" s="7">
        <v>214</v>
      </c>
      <c r="B219" s="8">
        <v>3204172003</v>
      </c>
      <c r="C219" s="9" t="s">
        <v>156</v>
      </c>
      <c r="D219" s="10" t="s">
        <v>18</v>
      </c>
      <c r="E219" s="11" t="s">
        <v>1001</v>
      </c>
      <c r="F219" s="11" t="s">
        <v>1002</v>
      </c>
      <c r="G219" s="9" t="s">
        <v>987</v>
      </c>
      <c r="H219" s="9" t="s">
        <v>965</v>
      </c>
      <c r="I219" s="9" t="s">
        <v>193</v>
      </c>
      <c r="J219" s="9" t="s">
        <v>100</v>
      </c>
      <c r="K219" s="12" t="s">
        <v>19</v>
      </c>
      <c r="L219" s="13" t="s">
        <v>20</v>
      </c>
      <c r="M219" s="12" t="s">
        <v>2604</v>
      </c>
      <c r="N219" s="12" t="s">
        <v>2605</v>
      </c>
      <c r="O219" s="12" t="s">
        <v>2616</v>
      </c>
      <c r="P219" s="14" t="s">
        <v>2607</v>
      </c>
      <c r="Q219">
        <v>1</v>
      </c>
      <c r="R219" s="20"/>
    </row>
    <row r="220" spans="1:18" ht="20.100000000000001" customHeight="1">
      <c r="A220" s="7">
        <v>215</v>
      </c>
      <c r="B220" s="8">
        <v>3204172003</v>
      </c>
      <c r="C220" s="9" t="s">
        <v>1003</v>
      </c>
      <c r="D220" s="10" t="s">
        <v>22</v>
      </c>
      <c r="E220" s="11" t="s">
        <v>1004</v>
      </c>
      <c r="F220" s="11" t="s">
        <v>1005</v>
      </c>
      <c r="G220" s="9" t="s">
        <v>1006</v>
      </c>
      <c r="H220" s="9" t="s">
        <v>965</v>
      </c>
      <c r="I220" s="9" t="s">
        <v>193</v>
      </c>
      <c r="J220" s="9" t="s">
        <v>100</v>
      </c>
      <c r="K220" s="12" t="s">
        <v>19</v>
      </c>
      <c r="L220" s="13" t="s">
        <v>20</v>
      </c>
      <c r="M220" s="12" t="s">
        <v>2604</v>
      </c>
      <c r="N220" s="12" t="s">
        <v>2605</v>
      </c>
      <c r="O220" s="12" t="s">
        <v>2608</v>
      </c>
      <c r="P220" s="14" t="s">
        <v>2607</v>
      </c>
      <c r="Q220">
        <v>1</v>
      </c>
      <c r="R220" s="20"/>
    </row>
    <row r="221" spans="1:18" ht="20.100000000000001" customHeight="1">
      <c r="A221" s="7">
        <v>216</v>
      </c>
      <c r="B221" s="8">
        <v>3204172003</v>
      </c>
      <c r="C221" s="9" t="s">
        <v>215</v>
      </c>
      <c r="D221" s="10" t="s">
        <v>18</v>
      </c>
      <c r="E221" s="11" t="s">
        <v>1007</v>
      </c>
      <c r="F221" s="11" t="s">
        <v>1008</v>
      </c>
      <c r="G221" s="9" t="s">
        <v>996</v>
      </c>
      <c r="H221" s="9" t="s">
        <v>965</v>
      </c>
      <c r="I221" s="9" t="s">
        <v>193</v>
      </c>
      <c r="J221" s="9" t="s">
        <v>100</v>
      </c>
      <c r="K221" s="12" t="s">
        <v>19</v>
      </c>
      <c r="L221" s="13" t="s">
        <v>20</v>
      </c>
      <c r="M221" s="12" t="s">
        <v>2604</v>
      </c>
      <c r="N221" s="12" t="s">
        <v>2605</v>
      </c>
      <c r="O221" s="12" t="s">
        <v>2609</v>
      </c>
      <c r="P221" s="14" t="s">
        <v>2610</v>
      </c>
      <c r="Q221">
        <v>1</v>
      </c>
      <c r="R221" s="20"/>
    </row>
    <row r="222" spans="1:18" ht="20.100000000000001" customHeight="1">
      <c r="A222" s="7">
        <v>217</v>
      </c>
      <c r="B222" s="8">
        <v>3204172003</v>
      </c>
      <c r="C222" s="9" t="s">
        <v>92</v>
      </c>
      <c r="D222" s="10" t="s">
        <v>18</v>
      </c>
      <c r="E222" s="11" t="s">
        <v>1009</v>
      </c>
      <c r="F222" s="11" t="s">
        <v>1010</v>
      </c>
      <c r="G222" s="9" t="s">
        <v>1011</v>
      </c>
      <c r="H222" s="9" t="s">
        <v>965</v>
      </c>
      <c r="I222" s="9" t="s">
        <v>193</v>
      </c>
      <c r="J222" s="9" t="s">
        <v>100</v>
      </c>
      <c r="K222" s="12" t="s">
        <v>19</v>
      </c>
      <c r="L222" s="13" t="s">
        <v>20</v>
      </c>
      <c r="M222" s="12" t="s">
        <v>2604</v>
      </c>
      <c r="N222" s="12" t="s">
        <v>2605</v>
      </c>
      <c r="O222" s="12" t="s">
        <v>2616</v>
      </c>
      <c r="P222" s="14" t="s">
        <v>2607</v>
      </c>
      <c r="Q222">
        <v>1</v>
      </c>
      <c r="R222" s="20"/>
    </row>
    <row r="223" spans="1:18" ht="20.100000000000001" customHeight="1">
      <c r="A223" s="7">
        <v>218</v>
      </c>
      <c r="B223" s="8">
        <v>3204172003</v>
      </c>
      <c r="C223" s="9" t="s">
        <v>1012</v>
      </c>
      <c r="D223" s="10" t="s">
        <v>22</v>
      </c>
      <c r="E223" s="11" t="s">
        <v>1013</v>
      </c>
      <c r="F223" s="11" t="s">
        <v>1014</v>
      </c>
      <c r="G223" s="9" t="s">
        <v>984</v>
      </c>
      <c r="H223" s="9" t="s">
        <v>965</v>
      </c>
      <c r="I223" s="9" t="s">
        <v>193</v>
      </c>
      <c r="J223" s="9" t="s">
        <v>100</v>
      </c>
      <c r="K223" s="12" t="s">
        <v>19</v>
      </c>
      <c r="L223" s="13" t="s">
        <v>20</v>
      </c>
      <c r="M223" s="12" t="s">
        <v>2604</v>
      </c>
      <c r="N223" s="12" t="s">
        <v>2605</v>
      </c>
      <c r="O223" s="12" t="s">
        <v>2624</v>
      </c>
      <c r="P223" s="14" t="s">
        <v>2615</v>
      </c>
      <c r="Q223">
        <v>1</v>
      </c>
      <c r="R223" s="20"/>
    </row>
    <row r="224" spans="1:18" ht="20.100000000000001" customHeight="1">
      <c r="A224" s="7">
        <v>219</v>
      </c>
      <c r="B224" s="8">
        <v>3204061002</v>
      </c>
      <c r="C224" s="9" t="s">
        <v>1015</v>
      </c>
      <c r="D224" s="10" t="s">
        <v>22</v>
      </c>
      <c r="E224" s="11" t="s">
        <v>1016</v>
      </c>
      <c r="F224" s="11" t="s">
        <v>1017</v>
      </c>
      <c r="G224" s="9" t="s">
        <v>1018</v>
      </c>
      <c r="H224" s="9" t="s">
        <v>1019</v>
      </c>
      <c r="I224" s="9" t="s">
        <v>42</v>
      </c>
      <c r="J224" s="9" t="s">
        <v>100</v>
      </c>
      <c r="K224" s="12" t="s">
        <v>19</v>
      </c>
      <c r="L224" s="13" t="s">
        <v>20</v>
      </c>
      <c r="M224" s="12" t="s">
        <v>2604</v>
      </c>
      <c r="N224" s="12" t="s">
        <v>2605</v>
      </c>
      <c r="O224" s="12" t="s">
        <v>2606</v>
      </c>
      <c r="P224" s="14" t="s">
        <v>2607</v>
      </c>
      <c r="Q224">
        <v>1</v>
      </c>
      <c r="R224" s="20">
        <f>SUM(Q224:Q237)</f>
        <v>14</v>
      </c>
    </row>
    <row r="225" spans="1:18" ht="20.100000000000001" customHeight="1">
      <c r="A225" s="7">
        <v>220</v>
      </c>
      <c r="B225" s="8">
        <v>3204061002</v>
      </c>
      <c r="C225" s="9" t="s">
        <v>1020</v>
      </c>
      <c r="D225" s="10" t="s">
        <v>22</v>
      </c>
      <c r="E225" s="11" t="s">
        <v>1021</v>
      </c>
      <c r="F225" s="11" t="s">
        <v>1022</v>
      </c>
      <c r="G225" s="9" t="s">
        <v>1023</v>
      </c>
      <c r="H225" s="9" t="s">
        <v>1019</v>
      </c>
      <c r="I225" s="9" t="s">
        <v>42</v>
      </c>
      <c r="J225" s="9" t="s">
        <v>100</v>
      </c>
      <c r="K225" s="12" t="s">
        <v>19</v>
      </c>
      <c r="L225" s="13" t="s">
        <v>20</v>
      </c>
      <c r="M225" s="12" t="s">
        <v>2604</v>
      </c>
      <c r="N225" s="12" t="s">
        <v>2605</v>
      </c>
      <c r="O225" s="12" t="s">
        <v>2620</v>
      </c>
      <c r="P225" s="14" t="s">
        <v>2615</v>
      </c>
      <c r="Q225">
        <v>1</v>
      </c>
      <c r="R225" s="20"/>
    </row>
    <row r="226" spans="1:18" ht="20.100000000000001" customHeight="1">
      <c r="A226" s="7">
        <v>221</v>
      </c>
      <c r="B226" s="8">
        <v>3204061002</v>
      </c>
      <c r="C226" s="9" t="s">
        <v>124</v>
      </c>
      <c r="D226" s="10" t="s">
        <v>22</v>
      </c>
      <c r="E226" s="11" t="s">
        <v>1024</v>
      </c>
      <c r="F226" s="11" t="s">
        <v>1025</v>
      </c>
      <c r="G226" s="9" t="s">
        <v>1026</v>
      </c>
      <c r="H226" s="9" t="s">
        <v>1019</v>
      </c>
      <c r="I226" s="9" t="s">
        <v>42</v>
      </c>
      <c r="J226" s="9" t="s">
        <v>100</v>
      </c>
      <c r="K226" s="12" t="s">
        <v>19</v>
      </c>
      <c r="L226" s="13" t="s">
        <v>20</v>
      </c>
      <c r="M226" s="12" t="s">
        <v>2604</v>
      </c>
      <c r="N226" s="12" t="s">
        <v>2605</v>
      </c>
      <c r="O226" s="12" t="s">
        <v>2614</v>
      </c>
      <c r="P226" s="14" t="s">
        <v>2615</v>
      </c>
      <c r="Q226">
        <v>1</v>
      </c>
      <c r="R226" s="20"/>
    </row>
    <row r="227" spans="1:18" ht="20.100000000000001" customHeight="1">
      <c r="A227" s="7">
        <v>222</v>
      </c>
      <c r="B227" s="8">
        <v>3204061002</v>
      </c>
      <c r="C227" s="9" t="s">
        <v>1027</v>
      </c>
      <c r="D227" s="10" t="s">
        <v>22</v>
      </c>
      <c r="E227" s="11" t="s">
        <v>1028</v>
      </c>
      <c r="F227" s="11" t="s">
        <v>1029</v>
      </c>
      <c r="G227" s="9" t="s">
        <v>1030</v>
      </c>
      <c r="H227" s="9" t="s">
        <v>1019</v>
      </c>
      <c r="I227" s="9" t="s">
        <v>42</v>
      </c>
      <c r="J227" s="9" t="s">
        <v>100</v>
      </c>
      <c r="K227" s="12" t="s">
        <v>19</v>
      </c>
      <c r="L227" s="13" t="s">
        <v>20</v>
      </c>
      <c r="M227" s="12" t="s">
        <v>2604</v>
      </c>
      <c r="N227" s="12" t="s">
        <v>2605</v>
      </c>
      <c r="O227" s="12" t="s">
        <v>2616</v>
      </c>
      <c r="P227" s="14" t="s">
        <v>2607</v>
      </c>
      <c r="Q227">
        <v>1</v>
      </c>
      <c r="R227" s="20"/>
    </row>
    <row r="228" spans="1:18" ht="20.100000000000001" customHeight="1">
      <c r="A228" s="7">
        <v>223</v>
      </c>
      <c r="B228" s="8">
        <v>3204061002</v>
      </c>
      <c r="C228" s="9" t="s">
        <v>1031</v>
      </c>
      <c r="D228" s="10" t="s">
        <v>18</v>
      </c>
      <c r="E228" s="11" t="s">
        <v>1032</v>
      </c>
      <c r="F228" s="11" t="s">
        <v>1033</v>
      </c>
      <c r="G228" s="9" t="s">
        <v>1034</v>
      </c>
      <c r="H228" s="9" t="s">
        <v>1019</v>
      </c>
      <c r="I228" s="9" t="s">
        <v>42</v>
      </c>
      <c r="J228" s="9" t="s">
        <v>100</v>
      </c>
      <c r="K228" s="12" t="s">
        <v>19</v>
      </c>
      <c r="L228" s="13" t="s">
        <v>20</v>
      </c>
      <c r="M228" s="12" t="s">
        <v>2604</v>
      </c>
      <c r="N228" s="12" t="s">
        <v>2605</v>
      </c>
      <c r="O228" s="12" t="s">
        <v>2609</v>
      </c>
      <c r="P228" s="14" t="s">
        <v>2610</v>
      </c>
      <c r="Q228">
        <v>1</v>
      </c>
      <c r="R228" s="20"/>
    </row>
    <row r="229" spans="1:18" ht="20.100000000000001" customHeight="1">
      <c r="A229" s="7">
        <v>224</v>
      </c>
      <c r="B229" s="8">
        <v>3204061002</v>
      </c>
      <c r="C229" s="9" t="s">
        <v>1035</v>
      </c>
      <c r="D229" s="10" t="s">
        <v>22</v>
      </c>
      <c r="E229" s="11" t="s">
        <v>1036</v>
      </c>
      <c r="F229" s="11" t="s">
        <v>1037</v>
      </c>
      <c r="G229" s="9" t="s">
        <v>1038</v>
      </c>
      <c r="H229" s="9" t="s">
        <v>1019</v>
      </c>
      <c r="I229" s="9" t="s">
        <v>42</v>
      </c>
      <c r="J229" s="9" t="s">
        <v>100</v>
      </c>
      <c r="K229" s="12" t="s">
        <v>19</v>
      </c>
      <c r="L229" s="13" t="s">
        <v>20</v>
      </c>
      <c r="M229" s="12" t="s">
        <v>2604</v>
      </c>
      <c r="N229" s="12" t="s">
        <v>2605</v>
      </c>
      <c r="O229" s="12" t="s">
        <v>2616</v>
      </c>
      <c r="P229" s="14" t="s">
        <v>2607</v>
      </c>
      <c r="Q229">
        <v>1</v>
      </c>
      <c r="R229" s="20"/>
    </row>
    <row r="230" spans="1:18" ht="20.100000000000001" customHeight="1">
      <c r="A230" s="7">
        <v>225</v>
      </c>
      <c r="B230" s="8">
        <v>3204061002</v>
      </c>
      <c r="C230" s="9" t="s">
        <v>1039</v>
      </c>
      <c r="D230" s="10" t="s">
        <v>22</v>
      </c>
      <c r="E230" s="11" t="s">
        <v>1040</v>
      </c>
      <c r="F230" s="11" t="s">
        <v>1041</v>
      </c>
      <c r="G230" s="9" t="s">
        <v>1042</v>
      </c>
      <c r="H230" s="9" t="s">
        <v>1019</v>
      </c>
      <c r="I230" s="9" t="s">
        <v>42</v>
      </c>
      <c r="J230" s="9" t="s">
        <v>100</v>
      </c>
      <c r="K230" s="12" t="s">
        <v>19</v>
      </c>
      <c r="L230" s="13" t="s">
        <v>20</v>
      </c>
      <c r="M230" s="12" t="s">
        <v>2604</v>
      </c>
      <c r="N230" s="12" t="s">
        <v>2605</v>
      </c>
      <c r="O230" s="12" t="s">
        <v>2608</v>
      </c>
      <c r="P230" s="14" t="s">
        <v>2607</v>
      </c>
      <c r="Q230">
        <v>1</v>
      </c>
      <c r="R230" s="20"/>
    </row>
    <row r="231" spans="1:18" ht="20.100000000000001" customHeight="1">
      <c r="A231" s="7">
        <v>226</v>
      </c>
      <c r="B231" s="8">
        <v>3204061002</v>
      </c>
      <c r="C231" s="9" t="s">
        <v>120</v>
      </c>
      <c r="D231" s="10" t="s">
        <v>22</v>
      </c>
      <c r="E231" s="11" t="s">
        <v>1043</v>
      </c>
      <c r="F231" s="11" t="s">
        <v>1044</v>
      </c>
      <c r="G231" s="9" t="s">
        <v>1045</v>
      </c>
      <c r="H231" s="9" t="s">
        <v>1019</v>
      </c>
      <c r="I231" s="9" t="s">
        <v>42</v>
      </c>
      <c r="J231" s="9" t="s">
        <v>100</v>
      </c>
      <c r="K231" s="12" t="s">
        <v>19</v>
      </c>
      <c r="L231" s="13" t="s">
        <v>20</v>
      </c>
      <c r="M231" s="12" t="s">
        <v>2604</v>
      </c>
      <c r="N231" s="12" t="s">
        <v>2605</v>
      </c>
      <c r="O231" s="12" t="s">
        <v>2616</v>
      </c>
      <c r="P231" s="14" t="s">
        <v>2607</v>
      </c>
      <c r="Q231">
        <v>1</v>
      </c>
      <c r="R231" s="20"/>
    </row>
    <row r="232" spans="1:18" ht="20.100000000000001" customHeight="1">
      <c r="A232" s="7">
        <v>227</v>
      </c>
      <c r="B232" s="8">
        <v>3204061002</v>
      </c>
      <c r="C232" s="9" t="s">
        <v>1046</v>
      </c>
      <c r="D232" s="10" t="s">
        <v>18</v>
      </c>
      <c r="E232" s="11" t="s">
        <v>1047</v>
      </c>
      <c r="F232" s="11" t="s">
        <v>1048</v>
      </c>
      <c r="G232" s="9" t="s">
        <v>1049</v>
      </c>
      <c r="H232" s="9" t="s">
        <v>1019</v>
      </c>
      <c r="I232" s="9" t="s">
        <v>42</v>
      </c>
      <c r="J232" s="9" t="s">
        <v>100</v>
      </c>
      <c r="K232" s="12" t="s">
        <v>19</v>
      </c>
      <c r="L232" s="13" t="s">
        <v>20</v>
      </c>
      <c r="M232" s="12" t="s">
        <v>2604</v>
      </c>
      <c r="N232" s="12" t="s">
        <v>2605</v>
      </c>
      <c r="O232" s="12" t="s">
        <v>2611</v>
      </c>
      <c r="P232" s="14" t="s">
        <v>2607</v>
      </c>
      <c r="Q232">
        <v>1</v>
      </c>
      <c r="R232" s="20"/>
    </row>
    <row r="233" spans="1:18" ht="20.100000000000001" customHeight="1">
      <c r="A233" s="7">
        <v>228</v>
      </c>
      <c r="B233" s="8">
        <v>3204061002</v>
      </c>
      <c r="C233" s="9" t="s">
        <v>1050</v>
      </c>
      <c r="D233" s="10" t="s">
        <v>22</v>
      </c>
      <c r="E233" s="11" t="s">
        <v>1051</v>
      </c>
      <c r="F233" s="11" t="s">
        <v>1052</v>
      </c>
      <c r="G233" s="9" t="s">
        <v>1053</v>
      </c>
      <c r="H233" s="9" t="s">
        <v>1019</v>
      </c>
      <c r="I233" s="9" t="s">
        <v>42</v>
      </c>
      <c r="J233" s="9" t="s">
        <v>100</v>
      </c>
      <c r="K233" s="12" t="s">
        <v>19</v>
      </c>
      <c r="L233" s="13" t="s">
        <v>20</v>
      </c>
      <c r="M233" s="12" t="s">
        <v>2604</v>
      </c>
      <c r="N233" s="12" t="s">
        <v>2605</v>
      </c>
      <c r="O233" s="12" t="s">
        <v>2616</v>
      </c>
      <c r="P233" s="14" t="s">
        <v>2607</v>
      </c>
      <c r="Q233">
        <v>1</v>
      </c>
      <c r="R233" s="20"/>
    </row>
    <row r="234" spans="1:18" ht="20.100000000000001" customHeight="1">
      <c r="A234" s="7">
        <v>229</v>
      </c>
      <c r="B234" s="8">
        <v>3204061002</v>
      </c>
      <c r="C234" s="9" t="s">
        <v>1054</v>
      </c>
      <c r="D234" s="10" t="s">
        <v>18</v>
      </c>
      <c r="E234" s="11" t="s">
        <v>1055</v>
      </c>
      <c r="F234" s="11" t="s">
        <v>1056</v>
      </c>
      <c r="G234" s="9" t="s">
        <v>1057</v>
      </c>
      <c r="H234" s="9" t="s">
        <v>1019</v>
      </c>
      <c r="I234" s="9" t="s">
        <v>42</v>
      </c>
      <c r="J234" s="9" t="s">
        <v>100</v>
      </c>
      <c r="K234" s="12" t="s">
        <v>19</v>
      </c>
      <c r="L234" s="13" t="s">
        <v>20</v>
      </c>
      <c r="M234" s="12" t="s">
        <v>2604</v>
      </c>
      <c r="N234" s="12" t="s">
        <v>2605</v>
      </c>
      <c r="O234" s="12" t="s">
        <v>2631</v>
      </c>
      <c r="P234" s="14" t="s">
        <v>2613</v>
      </c>
      <c r="Q234">
        <v>1</v>
      </c>
      <c r="R234" s="20"/>
    </row>
    <row r="235" spans="1:18" ht="20.100000000000001" customHeight="1">
      <c r="A235" s="7">
        <v>230</v>
      </c>
      <c r="B235" s="8">
        <v>3204061002</v>
      </c>
      <c r="C235" s="9" t="s">
        <v>95</v>
      </c>
      <c r="D235" s="10" t="s">
        <v>18</v>
      </c>
      <c r="E235" s="11" t="s">
        <v>1058</v>
      </c>
      <c r="F235" s="11" t="s">
        <v>1059</v>
      </c>
      <c r="G235" s="9" t="s">
        <v>1060</v>
      </c>
      <c r="H235" s="9" t="s">
        <v>1019</v>
      </c>
      <c r="I235" s="9" t="s">
        <v>42</v>
      </c>
      <c r="J235" s="9" t="s">
        <v>100</v>
      </c>
      <c r="K235" s="12" t="s">
        <v>19</v>
      </c>
      <c r="L235" s="13" t="s">
        <v>20</v>
      </c>
      <c r="M235" s="12" t="s">
        <v>2604</v>
      </c>
      <c r="N235" s="12" t="s">
        <v>2605</v>
      </c>
      <c r="O235" s="12" t="s">
        <v>2606</v>
      </c>
      <c r="P235" s="14" t="s">
        <v>2607</v>
      </c>
      <c r="Q235">
        <v>1</v>
      </c>
      <c r="R235" s="20"/>
    </row>
    <row r="236" spans="1:18" ht="20.100000000000001" customHeight="1">
      <c r="A236" s="7">
        <v>231</v>
      </c>
      <c r="B236" s="8">
        <v>3204061002</v>
      </c>
      <c r="C236" s="9" t="s">
        <v>199</v>
      </c>
      <c r="D236" s="10" t="s">
        <v>18</v>
      </c>
      <c r="E236" s="11" t="s">
        <v>1061</v>
      </c>
      <c r="F236" s="11" t="s">
        <v>1062</v>
      </c>
      <c r="G236" s="9" t="s">
        <v>1063</v>
      </c>
      <c r="H236" s="9" t="s">
        <v>1019</v>
      </c>
      <c r="I236" s="9" t="s">
        <v>42</v>
      </c>
      <c r="J236" s="9" t="s">
        <v>100</v>
      </c>
      <c r="K236" s="12" t="s">
        <v>19</v>
      </c>
      <c r="L236" s="13" t="s">
        <v>20</v>
      </c>
      <c r="M236" s="12" t="s">
        <v>2604</v>
      </c>
      <c r="N236" s="12" t="s">
        <v>2605</v>
      </c>
      <c r="O236" s="12" t="s">
        <v>2608</v>
      </c>
      <c r="P236" s="14" t="s">
        <v>2607</v>
      </c>
      <c r="Q236">
        <v>1</v>
      </c>
      <c r="R236" s="20"/>
    </row>
    <row r="237" spans="1:18" ht="20.100000000000001" customHeight="1">
      <c r="A237" s="7">
        <v>232</v>
      </c>
      <c r="B237" s="8">
        <v>3204061002</v>
      </c>
      <c r="C237" s="9" t="s">
        <v>1064</v>
      </c>
      <c r="D237" s="10" t="s">
        <v>22</v>
      </c>
      <c r="E237" s="11" t="s">
        <v>1065</v>
      </c>
      <c r="F237" s="11" t="s">
        <v>1066</v>
      </c>
      <c r="G237" s="9" t="s">
        <v>1067</v>
      </c>
      <c r="H237" s="9" t="s">
        <v>1019</v>
      </c>
      <c r="I237" s="9" t="s">
        <v>42</v>
      </c>
      <c r="J237" s="9" t="s">
        <v>100</v>
      </c>
      <c r="K237" s="12" t="s">
        <v>19</v>
      </c>
      <c r="L237" s="13" t="s">
        <v>20</v>
      </c>
      <c r="M237" s="12" t="s">
        <v>2604</v>
      </c>
      <c r="N237" s="12" t="s">
        <v>2605</v>
      </c>
      <c r="O237" s="12" t="s">
        <v>2616</v>
      </c>
      <c r="P237" s="14" t="s">
        <v>2607</v>
      </c>
      <c r="Q237">
        <v>1</v>
      </c>
      <c r="R237" s="20"/>
    </row>
    <row r="238" spans="1:18" ht="20.100000000000001" customHeight="1">
      <c r="A238" s="7">
        <v>233</v>
      </c>
      <c r="B238" s="8">
        <v>3204062008</v>
      </c>
      <c r="C238" s="9" t="s">
        <v>177</v>
      </c>
      <c r="D238" s="10" t="s">
        <v>18</v>
      </c>
      <c r="E238" s="11" t="s">
        <v>1068</v>
      </c>
      <c r="F238" s="11" t="s">
        <v>1069</v>
      </c>
      <c r="G238" s="9" t="s">
        <v>1070</v>
      </c>
      <c r="H238" s="9" t="s">
        <v>1071</v>
      </c>
      <c r="I238" s="9" t="s">
        <v>42</v>
      </c>
      <c r="J238" s="9" t="s">
        <v>100</v>
      </c>
      <c r="K238" s="12" t="s">
        <v>19</v>
      </c>
      <c r="L238" s="13" t="s">
        <v>20</v>
      </c>
      <c r="M238" s="12" t="s">
        <v>2604</v>
      </c>
      <c r="N238" s="12" t="s">
        <v>2605</v>
      </c>
      <c r="O238" s="12" t="s">
        <v>2627</v>
      </c>
      <c r="P238" s="14" t="s">
        <v>2610</v>
      </c>
      <c r="Q238">
        <v>1</v>
      </c>
      <c r="R238" s="20">
        <f>SUM(Q238:Q247)</f>
        <v>10</v>
      </c>
    </row>
    <row r="239" spans="1:18" ht="20.100000000000001" customHeight="1">
      <c r="A239" s="7">
        <v>234</v>
      </c>
      <c r="B239" s="8">
        <v>3204062008</v>
      </c>
      <c r="C239" s="9" t="s">
        <v>70</v>
      </c>
      <c r="D239" s="10" t="s">
        <v>22</v>
      </c>
      <c r="E239" s="11" t="s">
        <v>1072</v>
      </c>
      <c r="F239" s="11" t="s">
        <v>1073</v>
      </c>
      <c r="G239" s="9" t="s">
        <v>1074</v>
      </c>
      <c r="H239" s="9" t="s">
        <v>1071</v>
      </c>
      <c r="I239" s="9" t="s">
        <v>42</v>
      </c>
      <c r="J239" s="9" t="s">
        <v>100</v>
      </c>
      <c r="K239" s="12" t="s">
        <v>19</v>
      </c>
      <c r="L239" s="13" t="s">
        <v>20</v>
      </c>
      <c r="M239" s="12" t="s">
        <v>2604</v>
      </c>
      <c r="N239" s="12" t="s">
        <v>2605</v>
      </c>
      <c r="O239" s="12" t="s">
        <v>2608</v>
      </c>
      <c r="P239" s="14" t="s">
        <v>2607</v>
      </c>
      <c r="Q239">
        <v>1</v>
      </c>
      <c r="R239" s="20"/>
    </row>
    <row r="240" spans="1:18" ht="20.100000000000001" customHeight="1">
      <c r="A240" s="7">
        <v>235</v>
      </c>
      <c r="B240" s="8">
        <v>3204062008</v>
      </c>
      <c r="C240" s="9" t="s">
        <v>1075</v>
      </c>
      <c r="D240" s="10" t="s">
        <v>22</v>
      </c>
      <c r="E240" s="11" t="s">
        <v>1076</v>
      </c>
      <c r="F240" s="11" t="s">
        <v>1077</v>
      </c>
      <c r="G240" s="9" t="s">
        <v>1078</v>
      </c>
      <c r="H240" s="9" t="s">
        <v>1071</v>
      </c>
      <c r="I240" s="9" t="s">
        <v>42</v>
      </c>
      <c r="J240" s="9" t="s">
        <v>100</v>
      </c>
      <c r="K240" s="12" t="s">
        <v>19</v>
      </c>
      <c r="L240" s="13" t="s">
        <v>20</v>
      </c>
      <c r="M240" s="12" t="s">
        <v>2604</v>
      </c>
      <c r="N240" s="12" t="s">
        <v>2605</v>
      </c>
      <c r="O240" s="12" t="s">
        <v>2620</v>
      </c>
      <c r="P240" s="14" t="s">
        <v>2615</v>
      </c>
      <c r="Q240">
        <v>1</v>
      </c>
      <c r="R240" s="20"/>
    </row>
    <row r="241" spans="1:18" ht="20.100000000000001" customHeight="1">
      <c r="A241" s="7">
        <v>236</v>
      </c>
      <c r="B241" s="8">
        <v>3204062008</v>
      </c>
      <c r="C241" s="9" t="s">
        <v>202</v>
      </c>
      <c r="D241" s="10" t="s">
        <v>22</v>
      </c>
      <c r="E241" s="11" t="s">
        <v>1079</v>
      </c>
      <c r="F241" s="11" t="s">
        <v>1080</v>
      </c>
      <c r="G241" s="9" t="s">
        <v>1081</v>
      </c>
      <c r="H241" s="9" t="s">
        <v>1071</v>
      </c>
      <c r="I241" s="9" t="s">
        <v>42</v>
      </c>
      <c r="J241" s="9" t="s">
        <v>100</v>
      </c>
      <c r="K241" s="12" t="s">
        <v>19</v>
      </c>
      <c r="L241" s="13" t="s">
        <v>20</v>
      </c>
      <c r="M241" s="12" t="s">
        <v>2604</v>
      </c>
      <c r="N241" s="12" t="s">
        <v>2605</v>
      </c>
      <c r="O241" s="12" t="s">
        <v>195</v>
      </c>
      <c r="P241" s="14" t="s">
        <v>2621</v>
      </c>
      <c r="Q241">
        <v>1</v>
      </c>
      <c r="R241" s="20"/>
    </row>
    <row r="242" spans="1:18" ht="20.100000000000001" customHeight="1">
      <c r="A242" s="7">
        <v>237</v>
      </c>
      <c r="B242" s="8">
        <v>3204062008</v>
      </c>
      <c r="C242" s="9" t="s">
        <v>1082</v>
      </c>
      <c r="D242" s="10" t="s">
        <v>22</v>
      </c>
      <c r="E242" s="11" t="s">
        <v>1083</v>
      </c>
      <c r="F242" s="11" t="s">
        <v>1084</v>
      </c>
      <c r="G242" s="9" t="s">
        <v>1081</v>
      </c>
      <c r="H242" s="9" t="s">
        <v>1071</v>
      </c>
      <c r="I242" s="9" t="s">
        <v>42</v>
      </c>
      <c r="J242" s="9" t="s">
        <v>100</v>
      </c>
      <c r="K242" s="12" t="s">
        <v>19</v>
      </c>
      <c r="L242" s="13" t="s">
        <v>20</v>
      </c>
      <c r="M242" s="12" t="s">
        <v>2604</v>
      </c>
      <c r="N242" s="12" t="s">
        <v>2605</v>
      </c>
      <c r="O242" s="12" t="s">
        <v>195</v>
      </c>
      <c r="P242" s="14" t="s">
        <v>2621</v>
      </c>
      <c r="Q242">
        <v>1</v>
      </c>
      <c r="R242" s="20"/>
    </row>
    <row r="243" spans="1:18" ht="20.100000000000001" customHeight="1">
      <c r="A243" s="7">
        <v>238</v>
      </c>
      <c r="B243" s="8">
        <v>3204062008</v>
      </c>
      <c r="C243" s="9" t="s">
        <v>34</v>
      </c>
      <c r="D243" s="10" t="s">
        <v>22</v>
      </c>
      <c r="E243" s="11" t="s">
        <v>1085</v>
      </c>
      <c r="F243" s="11" t="s">
        <v>1086</v>
      </c>
      <c r="G243" s="9" t="s">
        <v>1081</v>
      </c>
      <c r="H243" s="9" t="s">
        <v>1071</v>
      </c>
      <c r="I243" s="9" t="s">
        <v>42</v>
      </c>
      <c r="J243" s="9" t="s">
        <v>100</v>
      </c>
      <c r="K243" s="12" t="s">
        <v>19</v>
      </c>
      <c r="L243" s="13" t="s">
        <v>20</v>
      </c>
      <c r="M243" s="12" t="s">
        <v>2604</v>
      </c>
      <c r="N243" s="12" t="s">
        <v>2605</v>
      </c>
      <c r="O243" s="12" t="s">
        <v>2606</v>
      </c>
      <c r="P243" s="14" t="s">
        <v>2607</v>
      </c>
      <c r="Q243">
        <v>1</v>
      </c>
      <c r="R243" s="20"/>
    </row>
    <row r="244" spans="1:18" ht="20.100000000000001" customHeight="1">
      <c r="A244" s="7">
        <v>239</v>
      </c>
      <c r="B244" s="8">
        <v>3204062008</v>
      </c>
      <c r="C244" s="9" t="s">
        <v>1087</v>
      </c>
      <c r="D244" s="10" t="s">
        <v>22</v>
      </c>
      <c r="E244" s="11" t="s">
        <v>1088</v>
      </c>
      <c r="F244" s="11" t="s">
        <v>1089</v>
      </c>
      <c r="G244" s="9" t="s">
        <v>1090</v>
      </c>
      <c r="H244" s="9" t="s">
        <v>1071</v>
      </c>
      <c r="I244" s="9" t="s">
        <v>42</v>
      </c>
      <c r="J244" s="9" t="s">
        <v>100</v>
      </c>
      <c r="K244" s="12" t="s">
        <v>19</v>
      </c>
      <c r="L244" s="13" t="s">
        <v>20</v>
      </c>
      <c r="M244" s="12" t="s">
        <v>2604</v>
      </c>
      <c r="N244" s="12" t="s">
        <v>2605</v>
      </c>
      <c r="O244" s="12" t="s">
        <v>2608</v>
      </c>
      <c r="P244" s="14" t="s">
        <v>2607</v>
      </c>
      <c r="Q244">
        <v>1</v>
      </c>
      <c r="R244" s="20"/>
    </row>
    <row r="245" spans="1:18" ht="20.100000000000001" customHeight="1">
      <c r="A245" s="7">
        <v>240</v>
      </c>
      <c r="B245" s="8">
        <v>3204062008</v>
      </c>
      <c r="C245" s="9" t="s">
        <v>181</v>
      </c>
      <c r="D245" s="10" t="s">
        <v>18</v>
      </c>
      <c r="E245" s="11" t="s">
        <v>1091</v>
      </c>
      <c r="F245" s="11" t="s">
        <v>1092</v>
      </c>
      <c r="G245" s="9" t="s">
        <v>1093</v>
      </c>
      <c r="H245" s="9" t="s">
        <v>1071</v>
      </c>
      <c r="I245" s="9" t="s">
        <v>42</v>
      </c>
      <c r="J245" s="9" t="s">
        <v>100</v>
      </c>
      <c r="K245" s="12" t="s">
        <v>19</v>
      </c>
      <c r="L245" s="13" t="s">
        <v>20</v>
      </c>
      <c r="M245" s="12" t="s">
        <v>2604</v>
      </c>
      <c r="N245" s="12" t="s">
        <v>2605</v>
      </c>
      <c r="O245" s="12" t="s">
        <v>2616</v>
      </c>
      <c r="P245" s="14" t="s">
        <v>2607</v>
      </c>
      <c r="Q245">
        <v>1</v>
      </c>
      <c r="R245" s="20"/>
    </row>
    <row r="246" spans="1:18" ht="20.100000000000001" customHeight="1">
      <c r="A246" s="7">
        <v>241</v>
      </c>
      <c r="B246" s="8">
        <v>3204062008</v>
      </c>
      <c r="C246" s="9" t="s">
        <v>114</v>
      </c>
      <c r="D246" s="10" t="s">
        <v>18</v>
      </c>
      <c r="E246" s="11" t="s">
        <v>1094</v>
      </c>
      <c r="F246" s="11" t="s">
        <v>1095</v>
      </c>
      <c r="G246" s="9" t="s">
        <v>1096</v>
      </c>
      <c r="H246" s="9" t="s">
        <v>1071</v>
      </c>
      <c r="I246" s="9" t="s">
        <v>42</v>
      </c>
      <c r="J246" s="9" t="s">
        <v>100</v>
      </c>
      <c r="K246" s="12" t="s">
        <v>19</v>
      </c>
      <c r="L246" s="13" t="s">
        <v>20</v>
      </c>
      <c r="M246" s="12" t="s">
        <v>2604</v>
      </c>
      <c r="N246" s="12" t="s">
        <v>2605</v>
      </c>
      <c r="O246" s="12" t="s">
        <v>2614</v>
      </c>
      <c r="P246" s="14" t="s">
        <v>2615</v>
      </c>
      <c r="Q246">
        <v>1</v>
      </c>
      <c r="R246" s="20"/>
    </row>
    <row r="247" spans="1:18" ht="20.100000000000001" customHeight="1">
      <c r="A247" s="7">
        <v>242</v>
      </c>
      <c r="B247" s="8">
        <v>3204062008</v>
      </c>
      <c r="C247" s="9" t="s">
        <v>153</v>
      </c>
      <c r="D247" s="10" t="s">
        <v>22</v>
      </c>
      <c r="E247" s="11" t="s">
        <v>1097</v>
      </c>
      <c r="F247" s="11" t="s">
        <v>1098</v>
      </c>
      <c r="G247" s="9" t="s">
        <v>1099</v>
      </c>
      <c r="H247" s="9" t="s">
        <v>1071</v>
      </c>
      <c r="I247" s="9" t="s">
        <v>42</v>
      </c>
      <c r="J247" s="9" t="s">
        <v>100</v>
      </c>
      <c r="K247" s="12" t="s">
        <v>19</v>
      </c>
      <c r="L247" s="13" t="s">
        <v>20</v>
      </c>
      <c r="M247" s="12" t="s">
        <v>2604</v>
      </c>
      <c r="N247" s="12" t="s">
        <v>2605</v>
      </c>
      <c r="O247" s="12" t="s">
        <v>2606</v>
      </c>
      <c r="P247" s="14" t="s">
        <v>2607</v>
      </c>
      <c r="Q247">
        <v>1</v>
      </c>
      <c r="R247" s="20"/>
    </row>
    <row r="248" spans="1:18" ht="20.100000000000001" customHeight="1">
      <c r="A248" s="7">
        <v>243</v>
      </c>
      <c r="B248" s="8">
        <v>3204292010</v>
      </c>
      <c r="C248" s="9" t="s">
        <v>1100</v>
      </c>
      <c r="D248" s="10" t="s">
        <v>22</v>
      </c>
      <c r="E248" s="11" t="s">
        <v>1101</v>
      </c>
      <c r="F248" s="11" t="s">
        <v>1102</v>
      </c>
      <c r="G248" s="9" t="s">
        <v>1103</v>
      </c>
      <c r="H248" s="9" t="s">
        <v>1104</v>
      </c>
      <c r="I248" s="9" t="s">
        <v>99</v>
      </c>
      <c r="J248" s="9" t="s">
        <v>100</v>
      </c>
      <c r="K248" s="12" t="s">
        <v>19</v>
      </c>
      <c r="L248" s="13" t="s">
        <v>20</v>
      </c>
      <c r="M248" s="12" t="s">
        <v>2604</v>
      </c>
      <c r="N248" s="12" t="s">
        <v>2605</v>
      </c>
      <c r="O248" s="12" t="s">
        <v>195</v>
      </c>
      <c r="P248" s="14" t="s">
        <v>2621</v>
      </c>
      <c r="Q248">
        <v>1</v>
      </c>
      <c r="R248" s="20">
        <f>SUM(Q248:Q262)</f>
        <v>15</v>
      </c>
    </row>
    <row r="249" spans="1:18" ht="20.100000000000001" customHeight="1">
      <c r="A249" s="7">
        <v>244</v>
      </c>
      <c r="B249" s="8">
        <v>3204292010</v>
      </c>
      <c r="C249" s="9" t="s">
        <v>1105</v>
      </c>
      <c r="D249" s="10" t="s">
        <v>22</v>
      </c>
      <c r="E249" s="11" t="s">
        <v>1106</v>
      </c>
      <c r="F249" s="11" t="s">
        <v>1107</v>
      </c>
      <c r="G249" s="9" t="s">
        <v>1108</v>
      </c>
      <c r="H249" s="9" t="s">
        <v>1104</v>
      </c>
      <c r="I249" s="9" t="s">
        <v>99</v>
      </c>
      <c r="J249" s="9" t="s">
        <v>100</v>
      </c>
      <c r="K249" s="12" t="s">
        <v>19</v>
      </c>
      <c r="L249" s="13" t="s">
        <v>20</v>
      </c>
      <c r="M249" s="12" t="s">
        <v>2604</v>
      </c>
      <c r="N249" s="12" t="s">
        <v>2605</v>
      </c>
      <c r="O249" s="12" t="s">
        <v>195</v>
      </c>
      <c r="P249" s="14" t="s">
        <v>2621</v>
      </c>
      <c r="Q249">
        <v>1</v>
      </c>
      <c r="R249" s="20"/>
    </row>
    <row r="250" spans="1:18" ht="20.100000000000001" customHeight="1">
      <c r="A250" s="7">
        <v>245</v>
      </c>
      <c r="B250" s="8">
        <v>3204292010</v>
      </c>
      <c r="C250" s="9" t="s">
        <v>1109</v>
      </c>
      <c r="D250" s="10" t="s">
        <v>22</v>
      </c>
      <c r="E250" s="11" t="s">
        <v>1110</v>
      </c>
      <c r="F250" s="11" t="s">
        <v>1111</v>
      </c>
      <c r="G250" s="9" t="s">
        <v>1112</v>
      </c>
      <c r="H250" s="9" t="s">
        <v>1104</v>
      </c>
      <c r="I250" s="9" t="s">
        <v>99</v>
      </c>
      <c r="J250" s="9" t="s">
        <v>100</v>
      </c>
      <c r="K250" s="12" t="s">
        <v>19</v>
      </c>
      <c r="L250" s="13" t="s">
        <v>20</v>
      </c>
      <c r="M250" s="12" t="s">
        <v>2604</v>
      </c>
      <c r="N250" s="12" t="s">
        <v>2605</v>
      </c>
      <c r="O250" s="12" t="s">
        <v>2606</v>
      </c>
      <c r="P250" s="14" t="s">
        <v>2607</v>
      </c>
      <c r="Q250">
        <v>1</v>
      </c>
      <c r="R250" s="20"/>
    </row>
    <row r="251" spans="1:18" ht="20.100000000000001" customHeight="1">
      <c r="A251" s="7">
        <v>246</v>
      </c>
      <c r="B251" s="8">
        <v>3204292010</v>
      </c>
      <c r="C251" s="9" t="s">
        <v>1113</v>
      </c>
      <c r="D251" s="10" t="s">
        <v>22</v>
      </c>
      <c r="E251" s="11" t="s">
        <v>1114</v>
      </c>
      <c r="F251" s="11" t="s">
        <v>1115</v>
      </c>
      <c r="G251" s="9" t="s">
        <v>1116</v>
      </c>
      <c r="H251" s="9" t="s">
        <v>1104</v>
      </c>
      <c r="I251" s="9" t="s">
        <v>99</v>
      </c>
      <c r="J251" s="9" t="s">
        <v>100</v>
      </c>
      <c r="K251" s="12" t="s">
        <v>19</v>
      </c>
      <c r="L251" s="13" t="s">
        <v>20</v>
      </c>
      <c r="M251" s="12" t="s">
        <v>2604</v>
      </c>
      <c r="N251" s="12" t="s">
        <v>2605</v>
      </c>
      <c r="O251" s="12" t="s">
        <v>2608</v>
      </c>
      <c r="P251" s="14" t="s">
        <v>2607</v>
      </c>
      <c r="Q251">
        <v>1</v>
      </c>
      <c r="R251" s="20"/>
    </row>
    <row r="252" spans="1:18" ht="20.100000000000001" customHeight="1">
      <c r="A252" s="7">
        <v>247</v>
      </c>
      <c r="B252" s="8">
        <v>3204292010</v>
      </c>
      <c r="C252" s="9" t="s">
        <v>1117</v>
      </c>
      <c r="D252" s="10" t="s">
        <v>22</v>
      </c>
      <c r="E252" s="11" t="s">
        <v>1118</v>
      </c>
      <c r="F252" s="11" t="s">
        <v>1119</v>
      </c>
      <c r="G252" s="9" t="s">
        <v>1120</v>
      </c>
      <c r="H252" s="9" t="s">
        <v>1104</v>
      </c>
      <c r="I252" s="9" t="s">
        <v>99</v>
      </c>
      <c r="J252" s="9" t="s">
        <v>100</v>
      </c>
      <c r="K252" s="12" t="s">
        <v>19</v>
      </c>
      <c r="L252" s="13" t="s">
        <v>20</v>
      </c>
      <c r="M252" s="12" t="s">
        <v>2604</v>
      </c>
      <c r="N252" s="12" t="s">
        <v>2605</v>
      </c>
      <c r="O252" s="12" t="s">
        <v>2606</v>
      </c>
      <c r="P252" s="14" t="s">
        <v>2607</v>
      </c>
      <c r="Q252">
        <v>1</v>
      </c>
      <c r="R252" s="20"/>
    </row>
    <row r="253" spans="1:18" ht="20.100000000000001" customHeight="1">
      <c r="A253" s="7">
        <v>248</v>
      </c>
      <c r="B253" s="8">
        <v>3204292010</v>
      </c>
      <c r="C253" s="9" t="s">
        <v>1121</v>
      </c>
      <c r="D253" s="10" t="s">
        <v>22</v>
      </c>
      <c r="E253" s="11" t="s">
        <v>1122</v>
      </c>
      <c r="F253" s="11" t="s">
        <v>1123</v>
      </c>
      <c r="G253" s="9" t="s">
        <v>1124</v>
      </c>
      <c r="H253" s="9" t="s">
        <v>1104</v>
      </c>
      <c r="I253" s="9" t="s">
        <v>99</v>
      </c>
      <c r="J253" s="9" t="s">
        <v>100</v>
      </c>
      <c r="K253" s="12" t="s">
        <v>19</v>
      </c>
      <c r="L253" s="13" t="s">
        <v>20</v>
      </c>
      <c r="M253" s="12" t="s">
        <v>2604</v>
      </c>
      <c r="N253" s="12" t="s">
        <v>2605</v>
      </c>
      <c r="O253" s="12" t="s">
        <v>2608</v>
      </c>
      <c r="P253" s="14" t="s">
        <v>2607</v>
      </c>
      <c r="Q253">
        <v>1</v>
      </c>
      <c r="R253" s="20"/>
    </row>
    <row r="254" spans="1:18" ht="20.100000000000001" customHeight="1">
      <c r="A254" s="7">
        <v>249</v>
      </c>
      <c r="B254" s="8">
        <v>3204292010</v>
      </c>
      <c r="C254" s="9" t="s">
        <v>1125</v>
      </c>
      <c r="D254" s="10" t="s">
        <v>22</v>
      </c>
      <c r="E254" s="11" t="s">
        <v>1126</v>
      </c>
      <c r="F254" s="11" t="s">
        <v>1127</v>
      </c>
      <c r="G254" s="9" t="s">
        <v>1124</v>
      </c>
      <c r="H254" s="9" t="s">
        <v>1104</v>
      </c>
      <c r="I254" s="9" t="s">
        <v>99</v>
      </c>
      <c r="J254" s="9" t="s">
        <v>100</v>
      </c>
      <c r="K254" s="12" t="s">
        <v>19</v>
      </c>
      <c r="L254" s="13" t="s">
        <v>20</v>
      </c>
      <c r="M254" s="12" t="s">
        <v>2604</v>
      </c>
      <c r="N254" s="12" t="s">
        <v>2605</v>
      </c>
      <c r="O254" s="12" t="s">
        <v>195</v>
      </c>
      <c r="P254" s="14" t="s">
        <v>2621</v>
      </c>
      <c r="Q254">
        <v>1</v>
      </c>
      <c r="R254" s="20"/>
    </row>
    <row r="255" spans="1:18" ht="20.100000000000001" customHeight="1">
      <c r="A255" s="7">
        <v>250</v>
      </c>
      <c r="B255" s="8">
        <v>3204292010</v>
      </c>
      <c r="C255" s="9" t="s">
        <v>117</v>
      </c>
      <c r="D255" s="10" t="s">
        <v>22</v>
      </c>
      <c r="E255" s="11" t="s">
        <v>1128</v>
      </c>
      <c r="F255" s="11" t="s">
        <v>1129</v>
      </c>
      <c r="G255" s="9" t="s">
        <v>1130</v>
      </c>
      <c r="H255" s="9" t="s">
        <v>1104</v>
      </c>
      <c r="I255" s="9" t="s">
        <v>99</v>
      </c>
      <c r="J255" s="9" t="s">
        <v>100</v>
      </c>
      <c r="K255" s="12" t="s">
        <v>19</v>
      </c>
      <c r="L255" s="13" t="s">
        <v>20</v>
      </c>
      <c r="M255" s="12" t="s">
        <v>2604</v>
      </c>
      <c r="N255" s="12" t="s">
        <v>2605</v>
      </c>
      <c r="O255" s="12" t="s">
        <v>2608</v>
      </c>
      <c r="P255" s="14" t="s">
        <v>2607</v>
      </c>
      <c r="Q255">
        <v>1</v>
      </c>
      <c r="R255" s="20"/>
    </row>
    <row r="256" spans="1:18" ht="20.100000000000001" customHeight="1">
      <c r="A256" s="7">
        <v>251</v>
      </c>
      <c r="B256" s="8">
        <v>3204292010</v>
      </c>
      <c r="C256" s="9" t="s">
        <v>46</v>
      </c>
      <c r="D256" s="10" t="s">
        <v>18</v>
      </c>
      <c r="E256" s="11" t="s">
        <v>1131</v>
      </c>
      <c r="F256" s="11" t="s">
        <v>1132</v>
      </c>
      <c r="G256" s="9" t="s">
        <v>1133</v>
      </c>
      <c r="H256" s="9" t="s">
        <v>1104</v>
      </c>
      <c r="I256" s="9" t="s">
        <v>99</v>
      </c>
      <c r="J256" s="9" t="s">
        <v>100</v>
      </c>
      <c r="K256" s="12" t="s">
        <v>19</v>
      </c>
      <c r="L256" s="13" t="s">
        <v>20</v>
      </c>
      <c r="M256" s="12" t="s">
        <v>2604</v>
      </c>
      <c r="N256" s="12" t="s">
        <v>2605</v>
      </c>
      <c r="O256" s="12" t="s">
        <v>2622</v>
      </c>
      <c r="P256" s="14" t="s">
        <v>2607</v>
      </c>
      <c r="Q256">
        <v>1</v>
      </c>
      <c r="R256" s="20"/>
    </row>
    <row r="257" spans="1:18" ht="20.100000000000001" customHeight="1">
      <c r="A257" s="7">
        <v>252</v>
      </c>
      <c r="B257" s="8">
        <v>3204292010</v>
      </c>
      <c r="C257" s="9" t="s">
        <v>1134</v>
      </c>
      <c r="D257" s="10" t="s">
        <v>22</v>
      </c>
      <c r="E257" s="11" t="s">
        <v>1135</v>
      </c>
      <c r="F257" s="11" t="s">
        <v>1136</v>
      </c>
      <c r="G257" s="9" t="s">
        <v>1137</v>
      </c>
      <c r="H257" s="9" t="s">
        <v>1104</v>
      </c>
      <c r="I257" s="9" t="s">
        <v>99</v>
      </c>
      <c r="J257" s="9" t="s">
        <v>100</v>
      </c>
      <c r="K257" s="12" t="s">
        <v>19</v>
      </c>
      <c r="L257" s="13" t="s">
        <v>20</v>
      </c>
      <c r="M257" s="12" t="s">
        <v>2604</v>
      </c>
      <c r="N257" s="12" t="s">
        <v>2605</v>
      </c>
      <c r="O257" s="12" t="s">
        <v>2606</v>
      </c>
      <c r="P257" s="14" t="s">
        <v>2607</v>
      </c>
      <c r="Q257">
        <v>1</v>
      </c>
      <c r="R257" s="20"/>
    </row>
    <row r="258" spans="1:18" ht="20.100000000000001" customHeight="1">
      <c r="A258" s="7">
        <v>253</v>
      </c>
      <c r="B258" s="8">
        <v>3204292010</v>
      </c>
      <c r="C258" s="9" t="s">
        <v>232</v>
      </c>
      <c r="D258" s="10" t="s">
        <v>18</v>
      </c>
      <c r="E258" s="11" t="s">
        <v>1138</v>
      </c>
      <c r="F258" s="11" t="s">
        <v>1139</v>
      </c>
      <c r="G258" s="9" t="s">
        <v>1140</v>
      </c>
      <c r="H258" s="9" t="s">
        <v>1104</v>
      </c>
      <c r="I258" s="9" t="s">
        <v>99</v>
      </c>
      <c r="J258" s="9" t="s">
        <v>100</v>
      </c>
      <c r="K258" s="12" t="s">
        <v>19</v>
      </c>
      <c r="L258" s="13" t="s">
        <v>20</v>
      </c>
      <c r="M258" s="12" t="s">
        <v>2604</v>
      </c>
      <c r="N258" s="12" t="s">
        <v>2605</v>
      </c>
      <c r="O258" s="12" t="s">
        <v>2618</v>
      </c>
      <c r="P258" s="14" t="s">
        <v>2610</v>
      </c>
      <c r="Q258">
        <v>1</v>
      </c>
      <c r="R258" s="20"/>
    </row>
    <row r="259" spans="1:18" ht="20.100000000000001" customHeight="1">
      <c r="A259" s="7">
        <v>254</v>
      </c>
      <c r="B259" s="8">
        <v>3204292010</v>
      </c>
      <c r="C259" s="9" t="s">
        <v>1141</v>
      </c>
      <c r="D259" s="10" t="s">
        <v>18</v>
      </c>
      <c r="E259" s="11" t="s">
        <v>1142</v>
      </c>
      <c r="F259" s="11" t="s">
        <v>1143</v>
      </c>
      <c r="G259" s="9" t="s">
        <v>1144</v>
      </c>
      <c r="H259" s="9" t="s">
        <v>1104</v>
      </c>
      <c r="I259" s="9" t="s">
        <v>99</v>
      </c>
      <c r="J259" s="9" t="s">
        <v>100</v>
      </c>
      <c r="K259" s="12" t="s">
        <v>19</v>
      </c>
      <c r="L259" s="13" t="s">
        <v>20</v>
      </c>
      <c r="M259" s="12" t="s">
        <v>2604</v>
      </c>
      <c r="N259" s="12" t="s">
        <v>2605</v>
      </c>
      <c r="O259" s="12" t="s">
        <v>2606</v>
      </c>
      <c r="P259" s="14" t="s">
        <v>2607</v>
      </c>
      <c r="Q259">
        <v>1</v>
      </c>
      <c r="R259" s="20"/>
    </row>
    <row r="260" spans="1:18" ht="20.100000000000001" customHeight="1">
      <c r="A260" s="7">
        <v>255</v>
      </c>
      <c r="B260" s="8">
        <v>3204292010</v>
      </c>
      <c r="C260" s="9" t="s">
        <v>1145</v>
      </c>
      <c r="D260" s="10" t="s">
        <v>22</v>
      </c>
      <c r="E260" s="11" t="s">
        <v>1146</v>
      </c>
      <c r="F260" s="11" t="s">
        <v>1147</v>
      </c>
      <c r="G260" s="9" t="s">
        <v>1148</v>
      </c>
      <c r="H260" s="9" t="s">
        <v>1104</v>
      </c>
      <c r="I260" s="9" t="s">
        <v>99</v>
      </c>
      <c r="J260" s="9" t="s">
        <v>100</v>
      </c>
      <c r="K260" s="12" t="s">
        <v>19</v>
      </c>
      <c r="L260" s="13" t="s">
        <v>20</v>
      </c>
      <c r="M260" s="12" t="s">
        <v>2604</v>
      </c>
      <c r="N260" s="12" t="s">
        <v>2605</v>
      </c>
      <c r="O260" s="12" t="s">
        <v>195</v>
      </c>
      <c r="P260" s="14" t="s">
        <v>2621</v>
      </c>
      <c r="Q260">
        <v>1</v>
      </c>
      <c r="R260" s="20"/>
    </row>
    <row r="261" spans="1:18" ht="20.100000000000001" customHeight="1">
      <c r="A261" s="7">
        <v>256</v>
      </c>
      <c r="B261" s="8">
        <v>3204292010</v>
      </c>
      <c r="C261" s="9" t="s">
        <v>21</v>
      </c>
      <c r="D261" s="10" t="s">
        <v>22</v>
      </c>
      <c r="E261" s="11" t="s">
        <v>1149</v>
      </c>
      <c r="F261" s="11" t="s">
        <v>1150</v>
      </c>
      <c r="G261" s="9" t="s">
        <v>1151</v>
      </c>
      <c r="H261" s="9" t="s">
        <v>1104</v>
      </c>
      <c r="I261" s="9" t="s">
        <v>99</v>
      </c>
      <c r="J261" s="9" t="s">
        <v>100</v>
      </c>
      <c r="K261" s="12" t="s">
        <v>19</v>
      </c>
      <c r="L261" s="13" t="s">
        <v>20</v>
      </c>
      <c r="M261" s="12" t="s">
        <v>2604</v>
      </c>
      <c r="N261" s="12" t="s">
        <v>2605</v>
      </c>
      <c r="O261" s="12" t="s">
        <v>2618</v>
      </c>
      <c r="P261" s="14" t="s">
        <v>2610</v>
      </c>
      <c r="Q261">
        <v>1</v>
      </c>
      <c r="R261" s="20"/>
    </row>
    <row r="262" spans="1:18" ht="20.100000000000001" customHeight="1">
      <c r="A262" s="7">
        <v>257</v>
      </c>
      <c r="B262" s="8">
        <v>3204292010</v>
      </c>
      <c r="C262" s="9" t="s">
        <v>1152</v>
      </c>
      <c r="D262" s="10" t="s">
        <v>22</v>
      </c>
      <c r="E262" s="11" t="s">
        <v>1153</v>
      </c>
      <c r="F262" s="11" t="s">
        <v>1154</v>
      </c>
      <c r="G262" s="9" t="s">
        <v>1155</v>
      </c>
      <c r="H262" s="9" t="s">
        <v>1104</v>
      </c>
      <c r="I262" s="9" t="s">
        <v>99</v>
      </c>
      <c r="J262" s="9" t="s">
        <v>100</v>
      </c>
      <c r="K262" s="12" t="s">
        <v>19</v>
      </c>
      <c r="L262" s="13" t="s">
        <v>20</v>
      </c>
      <c r="M262" s="12" t="s">
        <v>2604</v>
      </c>
      <c r="N262" s="12" t="s">
        <v>2605</v>
      </c>
      <c r="O262" s="12" t="s">
        <v>2608</v>
      </c>
      <c r="P262" s="14" t="s">
        <v>2607</v>
      </c>
      <c r="Q262">
        <v>1</v>
      </c>
      <c r="R262" s="20"/>
    </row>
    <row r="263" spans="1:18" ht="20.100000000000001" customHeight="1">
      <c r="A263" s="7">
        <v>258</v>
      </c>
      <c r="B263" s="8">
        <v>3204292007</v>
      </c>
      <c r="C263" s="9" t="s">
        <v>1156</v>
      </c>
      <c r="D263" s="10" t="s">
        <v>22</v>
      </c>
      <c r="E263" s="11" t="s">
        <v>1157</v>
      </c>
      <c r="F263" s="11" t="s">
        <v>1158</v>
      </c>
      <c r="G263" s="9" t="s">
        <v>1159</v>
      </c>
      <c r="H263" s="9" t="s">
        <v>121</v>
      </c>
      <c r="I263" s="9" t="s">
        <v>99</v>
      </c>
      <c r="J263" s="9" t="s">
        <v>100</v>
      </c>
      <c r="K263" s="12" t="s">
        <v>19</v>
      </c>
      <c r="L263" s="13" t="s">
        <v>20</v>
      </c>
      <c r="M263" s="12" t="s">
        <v>2604</v>
      </c>
      <c r="N263" s="12" t="s">
        <v>2605</v>
      </c>
      <c r="O263" s="12" t="s">
        <v>2611</v>
      </c>
      <c r="P263" s="14" t="s">
        <v>2607</v>
      </c>
      <c r="Q263">
        <v>1</v>
      </c>
      <c r="R263" s="20">
        <f>SUM(Q263:Q277)</f>
        <v>15</v>
      </c>
    </row>
    <row r="264" spans="1:18" ht="20.100000000000001" customHeight="1">
      <c r="A264" s="7">
        <v>259</v>
      </c>
      <c r="B264" s="8">
        <v>3204292007</v>
      </c>
      <c r="C264" s="9" t="s">
        <v>148</v>
      </c>
      <c r="D264" s="10" t="s">
        <v>22</v>
      </c>
      <c r="E264" s="11" t="s">
        <v>1160</v>
      </c>
      <c r="F264" s="11" t="s">
        <v>1161</v>
      </c>
      <c r="G264" s="9" t="s">
        <v>1162</v>
      </c>
      <c r="H264" s="9" t="s">
        <v>121</v>
      </c>
      <c r="I264" s="9" t="s">
        <v>99</v>
      </c>
      <c r="J264" s="9" t="s">
        <v>100</v>
      </c>
      <c r="K264" s="12" t="s">
        <v>19</v>
      </c>
      <c r="L264" s="13" t="s">
        <v>20</v>
      </c>
      <c r="M264" s="12" t="s">
        <v>2604</v>
      </c>
      <c r="N264" s="12" t="s">
        <v>2605</v>
      </c>
      <c r="O264" s="12" t="s">
        <v>2608</v>
      </c>
      <c r="P264" s="14" t="s">
        <v>2607</v>
      </c>
      <c r="Q264">
        <v>1</v>
      </c>
      <c r="R264" s="20"/>
    </row>
    <row r="265" spans="1:18" ht="20.100000000000001" customHeight="1">
      <c r="A265" s="7">
        <v>260</v>
      </c>
      <c r="B265" s="8">
        <v>3204292007</v>
      </c>
      <c r="C265" s="9" t="s">
        <v>142</v>
      </c>
      <c r="D265" s="10" t="s">
        <v>22</v>
      </c>
      <c r="E265" s="11" t="s">
        <v>1163</v>
      </c>
      <c r="F265" s="11" t="s">
        <v>1164</v>
      </c>
      <c r="G265" s="9" t="s">
        <v>1165</v>
      </c>
      <c r="H265" s="9" t="s">
        <v>121</v>
      </c>
      <c r="I265" s="9" t="s">
        <v>99</v>
      </c>
      <c r="J265" s="9" t="s">
        <v>100</v>
      </c>
      <c r="K265" s="12" t="s">
        <v>19</v>
      </c>
      <c r="L265" s="13" t="s">
        <v>20</v>
      </c>
      <c r="M265" s="12" t="s">
        <v>2604</v>
      </c>
      <c r="N265" s="12" t="s">
        <v>2605</v>
      </c>
      <c r="O265" s="12" t="s">
        <v>2619</v>
      </c>
      <c r="P265" s="14" t="s">
        <v>2610</v>
      </c>
      <c r="Q265">
        <v>1</v>
      </c>
      <c r="R265" s="20"/>
    </row>
    <row r="266" spans="1:18" ht="20.100000000000001" customHeight="1">
      <c r="A266" s="7">
        <v>261</v>
      </c>
      <c r="B266" s="8">
        <v>3204292007</v>
      </c>
      <c r="C266" s="9" t="s">
        <v>1166</v>
      </c>
      <c r="D266" s="10" t="s">
        <v>22</v>
      </c>
      <c r="E266" s="11" t="s">
        <v>1167</v>
      </c>
      <c r="F266" s="11" t="s">
        <v>1168</v>
      </c>
      <c r="G266" s="9" t="s">
        <v>1169</v>
      </c>
      <c r="H266" s="9" t="s">
        <v>121</v>
      </c>
      <c r="I266" s="9" t="s">
        <v>99</v>
      </c>
      <c r="J266" s="9" t="s">
        <v>100</v>
      </c>
      <c r="K266" s="12" t="s">
        <v>19</v>
      </c>
      <c r="L266" s="13" t="s">
        <v>20</v>
      </c>
      <c r="M266" s="12" t="s">
        <v>2604</v>
      </c>
      <c r="N266" s="12" t="s">
        <v>2605</v>
      </c>
      <c r="O266" s="12" t="s">
        <v>2622</v>
      </c>
      <c r="P266" s="14" t="s">
        <v>2607</v>
      </c>
      <c r="Q266">
        <v>1</v>
      </c>
      <c r="R266" s="20"/>
    </row>
    <row r="267" spans="1:18" ht="20.100000000000001" customHeight="1">
      <c r="A267" s="7">
        <v>262</v>
      </c>
      <c r="B267" s="8">
        <v>3204292007</v>
      </c>
      <c r="C267" s="9" t="s">
        <v>1170</v>
      </c>
      <c r="D267" s="10" t="s">
        <v>22</v>
      </c>
      <c r="E267" s="11" t="s">
        <v>1171</v>
      </c>
      <c r="F267" s="11" t="s">
        <v>1172</v>
      </c>
      <c r="G267" s="9" t="s">
        <v>1173</v>
      </c>
      <c r="H267" s="9" t="s">
        <v>121</v>
      </c>
      <c r="I267" s="9" t="s">
        <v>99</v>
      </c>
      <c r="J267" s="9" t="s">
        <v>100</v>
      </c>
      <c r="K267" s="12" t="s">
        <v>19</v>
      </c>
      <c r="L267" s="13" t="s">
        <v>20</v>
      </c>
      <c r="M267" s="12" t="s">
        <v>2604</v>
      </c>
      <c r="N267" s="12" t="s">
        <v>2605</v>
      </c>
      <c r="O267" s="12" t="s">
        <v>2608</v>
      </c>
      <c r="P267" s="14" t="s">
        <v>2607</v>
      </c>
      <c r="Q267">
        <v>1</v>
      </c>
      <c r="R267" s="20"/>
    </row>
    <row r="268" spans="1:18" ht="20.100000000000001" customHeight="1">
      <c r="A268" s="7">
        <v>263</v>
      </c>
      <c r="B268" s="8">
        <v>3204292007</v>
      </c>
      <c r="C268" s="9" t="s">
        <v>198</v>
      </c>
      <c r="D268" s="10" t="s">
        <v>22</v>
      </c>
      <c r="E268" s="11" t="s">
        <v>1174</v>
      </c>
      <c r="F268" s="11" t="s">
        <v>1175</v>
      </c>
      <c r="G268" s="9" t="s">
        <v>1176</v>
      </c>
      <c r="H268" s="9" t="s">
        <v>121</v>
      </c>
      <c r="I268" s="9" t="s">
        <v>99</v>
      </c>
      <c r="J268" s="9" t="s">
        <v>100</v>
      </c>
      <c r="K268" s="12" t="s">
        <v>19</v>
      </c>
      <c r="L268" s="13" t="s">
        <v>20</v>
      </c>
      <c r="M268" s="12" t="s">
        <v>2604</v>
      </c>
      <c r="N268" s="12" t="s">
        <v>2605</v>
      </c>
      <c r="O268" s="12" t="s">
        <v>2611</v>
      </c>
      <c r="P268" s="14" t="s">
        <v>2607</v>
      </c>
      <c r="Q268">
        <v>1</v>
      </c>
      <c r="R268" s="20"/>
    </row>
    <row r="269" spans="1:18" ht="20.100000000000001" customHeight="1">
      <c r="A269" s="7">
        <v>264</v>
      </c>
      <c r="B269" s="8">
        <v>3204292007</v>
      </c>
      <c r="C269" s="9" t="s">
        <v>1177</v>
      </c>
      <c r="D269" s="10" t="s">
        <v>18</v>
      </c>
      <c r="E269" s="11" t="s">
        <v>1178</v>
      </c>
      <c r="F269" s="11" t="s">
        <v>1179</v>
      </c>
      <c r="G269" s="9" t="s">
        <v>1180</v>
      </c>
      <c r="H269" s="9" t="s">
        <v>121</v>
      </c>
      <c r="I269" s="9" t="s">
        <v>99</v>
      </c>
      <c r="J269" s="9" t="s">
        <v>100</v>
      </c>
      <c r="K269" s="12" t="s">
        <v>19</v>
      </c>
      <c r="L269" s="13" t="s">
        <v>20</v>
      </c>
      <c r="M269" s="12" t="s">
        <v>2604</v>
      </c>
      <c r="N269" s="12" t="s">
        <v>2605</v>
      </c>
      <c r="O269" s="12" t="s">
        <v>2611</v>
      </c>
      <c r="P269" s="14" t="s">
        <v>2607</v>
      </c>
      <c r="Q269">
        <v>1</v>
      </c>
      <c r="R269" s="20"/>
    </row>
    <row r="270" spans="1:18" ht="20.100000000000001" customHeight="1">
      <c r="A270" s="7">
        <v>265</v>
      </c>
      <c r="B270" s="8">
        <v>3204292007</v>
      </c>
      <c r="C270" s="9" t="s">
        <v>150</v>
      </c>
      <c r="D270" s="10" t="s">
        <v>18</v>
      </c>
      <c r="E270" s="11" t="s">
        <v>1181</v>
      </c>
      <c r="F270" s="11" t="s">
        <v>1182</v>
      </c>
      <c r="G270" s="9" t="s">
        <v>1183</v>
      </c>
      <c r="H270" s="9" t="s">
        <v>121</v>
      </c>
      <c r="I270" s="9" t="s">
        <v>99</v>
      </c>
      <c r="J270" s="9" t="s">
        <v>100</v>
      </c>
      <c r="K270" s="12" t="s">
        <v>19</v>
      </c>
      <c r="L270" s="13" t="s">
        <v>20</v>
      </c>
      <c r="M270" s="12" t="s">
        <v>2604</v>
      </c>
      <c r="N270" s="12" t="s">
        <v>2605</v>
      </c>
      <c r="O270" s="12" t="s">
        <v>2617</v>
      </c>
      <c r="P270" s="14" t="s">
        <v>2610</v>
      </c>
      <c r="Q270">
        <v>1</v>
      </c>
      <c r="R270" s="20"/>
    </row>
    <row r="271" spans="1:18" ht="20.100000000000001" customHeight="1">
      <c r="A271" s="7">
        <v>266</v>
      </c>
      <c r="B271" s="8">
        <v>3204292007</v>
      </c>
      <c r="C271" s="9" t="s">
        <v>1184</v>
      </c>
      <c r="D271" s="10" t="s">
        <v>22</v>
      </c>
      <c r="E271" s="11" t="s">
        <v>1185</v>
      </c>
      <c r="F271" s="11" t="s">
        <v>1186</v>
      </c>
      <c r="G271" s="9" t="s">
        <v>1187</v>
      </c>
      <c r="H271" s="9" t="s">
        <v>121</v>
      </c>
      <c r="I271" s="9" t="s">
        <v>99</v>
      </c>
      <c r="J271" s="9" t="s">
        <v>100</v>
      </c>
      <c r="K271" s="12" t="s">
        <v>19</v>
      </c>
      <c r="L271" s="13" t="s">
        <v>20</v>
      </c>
      <c r="M271" s="12" t="s">
        <v>2604</v>
      </c>
      <c r="N271" s="12" t="s">
        <v>2605</v>
      </c>
      <c r="O271" s="12" t="s">
        <v>2616</v>
      </c>
      <c r="P271" s="14" t="s">
        <v>2607</v>
      </c>
      <c r="Q271">
        <v>1</v>
      </c>
      <c r="R271" s="20"/>
    </row>
    <row r="272" spans="1:18" ht="20.100000000000001" customHeight="1">
      <c r="A272" s="7">
        <v>267</v>
      </c>
      <c r="B272" s="8">
        <v>3204292007</v>
      </c>
      <c r="C272" s="9" t="s">
        <v>1188</v>
      </c>
      <c r="D272" s="10" t="s">
        <v>18</v>
      </c>
      <c r="E272" s="11" t="s">
        <v>1189</v>
      </c>
      <c r="F272" s="11" t="s">
        <v>1190</v>
      </c>
      <c r="G272" s="9" t="s">
        <v>1191</v>
      </c>
      <c r="H272" s="9" t="s">
        <v>121</v>
      </c>
      <c r="I272" s="9" t="s">
        <v>99</v>
      </c>
      <c r="J272" s="9" t="s">
        <v>100</v>
      </c>
      <c r="K272" s="12" t="s">
        <v>19</v>
      </c>
      <c r="L272" s="13" t="s">
        <v>20</v>
      </c>
      <c r="M272" s="12" t="s">
        <v>2604</v>
      </c>
      <c r="N272" s="12" t="s">
        <v>2605</v>
      </c>
      <c r="O272" s="12" t="s">
        <v>2619</v>
      </c>
      <c r="P272" s="14" t="s">
        <v>2610</v>
      </c>
      <c r="Q272">
        <v>1</v>
      </c>
      <c r="R272" s="20"/>
    </row>
    <row r="273" spans="1:18" ht="20.100000000000001" customHeight="1">
      <c r="A273" s="7">
        <v>268</v>
      </c>
      <c r="B273" s="8">
        <v>3204292007</v>
      </c>
      <c r="C273" s="9" t="s">
        <v>59</v>
      </c>
      <c r="D273" s="10" t="s">
        <v>22</v>
      </c>
      <c r="E273" s="11" t="s">
        <v>1192</v>
      </c>
      <c r="F273" s="11" t="s">
        <v>1193</v>
      </c>
      <c r="G273" s="9" t="s">
        <v>1194</v>
      </c>
      <c r="H273" s="9" t="s">
        <v>121</v>
      </c>
      <c r="I273" s="9" t="s">
        <v>99</v>
      </c>
      <c r="J273" s="9" t="s">
        <v>100</v>
      </c>
      <c r="K273" s="12" t="s">
        <v>19</v>
      </c>
      <c r="L273" s="13" t="s">
        <v>20</v>
      </c>
      <c r="M273" s="12" t="s">
        <v>2604</v>
      </c>
      <c r="N273" s="12" t="s">
        <v>2605</v>
      </c>
      <c r="O273" s="12" t="s">
        <v>2606</v>
      </c>
      <c r="P273" s="14" t="s">
        <v>2607</v>
      </c>
      <c r="Q273">
        <v>1</v>
      </c>
      <c r="R273" s="20"/>
    </row>
    <row r="274" spans="1:18" ht="20.100000000000001" customHeight="1">
      <c r="A274" s="7">
        <v>269</v>
      </c>
      <c r="B274" s="8">
        <v>3204292007</v>
      </c>
      <c r="C274" s="9" t="s">
        <v>1195</v>
      </c>
      <c r="D274" s="10" t="s">
        <v>18</v>
      </c>
      <c r="E274" s="11" t="s">
        <v>1196</v>
      </c>
      <c r="F274" s="11" t="s">
        <v>1197</v>
      </c>
      <c r="G274" s="9" t="s">
        <v>1198</v>
      </c>
      <c r="H274" s="9" t="s">
        <v>121</v>
      </c>
      <c r="I274" s="9" t="s">
        <v>99</v>
      </c>
      <c r="J274" s="9" t="s">
        <v>100</v>
      </c>
      <c r="K274" s="12" t="s">
        <v>19</v>
      </c>
      <c r="L274" s="13" t="s">
        <v>20</v>
      </c>
      <c r="M274" s="12" t="s">
        <v>2604</v>
      </c>
      <c r="N274" s="12" t="s">
        <v>2605</v>
      </c>
      <c r="O274" s="12" t="s">
        <v>2608</v>
      </c>
      <c r="P274" s="14" t="s">
        <v>2607</v>
      </c>
      <c r="Q274">
        <v>1</v>
      </c>
      <c r="R274" s="20"/>
    </row>
    <row r="275" spans="1:18" ht="20.100000000000001" customHeight="1">
      <c r="A275" s="7">
        <v>270</v>
      </c>
      <c r="B275" s="8">
        <v>3204292007</v>
      </c>
      <c r="C275" s="9" t="s">
        <v>28</v>
      </c>
      <c r="D275" s="10" t="s">
        <v>22</v>
      </c>
      <c r="E275" s="11" t="s">
        <v>1199</v>
      </c>
      <c r="F275" s="11" t="s">
        <v>1200</v>
      </c>
      <c r="G275" s="9" t="s">
        <v>1201</v>
      </c>
      <c r="H275" s="9" t="s">
        <v>121</v>
      </c>
      <c r="I275" s="9" t="s">
        <v>99</v>
      </c>
      <c r="J275" s="9" t="s">
        <v>100</v>
      </c>
      <c r="K275" s="12" t="s">
        <v>19</v>
      </c>
      <c r="L275" s="13" t="s">
        <v>20</v>
      </c>
      <c r="M275" s="12" t="s">
        <v>2604</v>
      </c>
      <c r="N275" s="12" t="s">
        <v>2605</v>
      </c>
      <c r="O275" s="12" t="s">
        <v>2606</v>
      </c>
      <c r="P275" s="14" t="s">
        <v>2607</v>
      </c>
      <c r="Q275">
        <v>1</v>
      </c>
      <c r="R275" s="20"/>
    </row>
    <row r="276" spans="1:18" ht="20.100000000000001" customHeight="1">
      <c r="A276" s="7">
        <v>271</v>
      </c>
      <c r="B276" s="8">
        <v>3204292007</v>
      </c>
      <c r="C276" s="9" t="s">
        <v>104</v>
      </c>
      <c r="D276" s="10" t="s">
        <v>22</v>
      </c>
      <c r="E276" s="11" t="s">
        <v>1202</v>
      </c>
      <c r="F276" s="11" t="s">
        <v>1203</v>
      </c>
      <c r="G276" s="9" t="s">
        <v>1204</v>
      </c>
      <c r="H276" s="9" t="s">
        <v>121</v>
      </c>
      <c r="I276" s="9" t="s">
        <v>99</v>
      </c>
      <c r="J276" s="9" t="s">
        <v>100</v>
      </c>
      <c r="K276" s="12" t="s">
        <v>19</v>
      </c>
      <c r="L276" s="13" t="s">
        <v>20</v>
      </c>
      <c r="M276" s="12" t="s">
        <v>2604</v>
      </c>
      <c r="N276" s="12" t="s">
        <v>2605</v>
      </c>
      <c r="O276" s="12" t="s">
        <v>2611</v>
      </c>
      <c r="P276" s="14" t="s">
        <v>2607</v>
      </c>
      <c r="Q276">
        <v>1</v>
      </c>
      <c r="R276" s="20"/>
    </row>
    <row r="277" spans="1:18" ht="20.100000000000001" customHeight="1">
      <c r="A277" s="7">
        <v>272</v>
      </c>
      <c r="B277" s="8">
        <v>3204292007</v>
      </c>
      <c r="C277" s="9" t="s">
        <v>1205</v>
      </c>
      <c r="D277" s="10" t="s">
        <v>22</v>
      </c>
      <c r="E277" s="11" t="s">
        <v>1206</v>
      </c>
      <c r="F277" s="11" t="s">
        <v>1207</v>
      </c>
      <c r="G277" s="9" t="s">
        <v>1204</v>
      </c>
      <c r="H277" s="9" t="s">
        <v>121</v>
      </c>
      <c r="I277" s="9" t="s">
        <v>99</v>
      </c>
      <c r="J277" s="9" t="s">
        <v>100</v>
      </c>
      <c r="K277" s="12" t="s">
        <v>19</v>
      </c>
      <c r="L277" s="13" t="s">
        <v>20</v>
      </c>
      <c r="M277" s="12" t="s">
        <v>2604</v>
      </c>
      <c r="N277" s="12" t="s">
        <v>2605</v>
      </c>
      <c r="O277" s="12" t="s">
        <v>2606</v>
      </c>
      <c r="P277" s="14" t="s">
        <v>2607</v>
      </c>
      <c r="Q277">
        <v>1</v>
      </c>
      <c r="R277" s="20"/>
    </row>
    <row r="278" spans="1:18" ht="20.100000000000001" customHeight="1">
      <c r="A278" s="7">
        <v>273</v>
      </c>
      <c r="B278" s="8">
        <v>3204392002</v>
      </c>
      <c r="C278" s="9" t="s">
        <v>1208</v>
      </c>
      <c r="D278" s="10" t="s">
        <v>22</v>
      </c>
      <c r="E278" s="11" t="s">
        <v>1209</v>
      </c>
      <c r="F278" s="11" t="s">
        <v>1210</v>
      </c>
      <c r="G278" s="9" t="s">
        <v>1211</v>
      </c>
      <c r="H278" s="9" t="s">
        <v>101</v>
      </c>
      <c r="I278" s="9" t="s">
        <v>101</v>
      </c>
      <c r="J278" s="9" t="s">
        <v>100</v>
      </c>
      <c r="K278" s="12" t="s">
        <v>19</v>
      </c>
      <c r="L278" s="13" t="s">
        <v>20</v>
      </c>
      <c r="M278" s="12" t="s">
        <v>2604</v>
      </c>
      <c r="N278" s="12" t="s">
        <v>2605</v>
      </c>
      <c r="O278" s="12" t="s">
        <v>2606</v>
      </c>
      <c r="P278" s="14" t="s">
        <v>2607</v>
      </c>
      <c r="Q278">
        <v>1</v>
      </c>
      <c r="R278" s="20">
        <f>SUM(Q278:Q285)</f>
        <v>8</v>
      </c>
    </row>
    <row r="279" spans="1:18" ht="20.100000000000001" customHeight="1">
      <c r="A279" s="7">
        <v>274</v>
      </c>
      <c r="B279" s="8">
        <v>3204392002</v>
      </c>
      <c r="C279" s="9" t="s">
        <v>1212</v>
      </c>
      <c r="D279" s="10" t="s">
        <v>22</v>
      </c>
      <c r="E279" s="11" t="s">
        <v>1213</v>
      </c>
      <c r="F279" s="11" t="s">
        <v>1214</v>
      </c>
      <c r="G279" s="9" t="s">
        <v>1215</v>
      </c>
      <c r="H279" s="9" t="s">
        <v>101</v>
      </c>
      <c r="I279" s="9" t="s">
        <v>101</v>
      </c>
      <c r="J279" s="9" t="s">
        <v>100</v>
      </c>
      <c r="K279" s="12" t="s">
        <v>19</v>
      </c>
      <c r="L279" s="13" t="s">
        <v>20</v>
      </c>
      <c r="M279" s="12" t="s">
        <v>2604</v>
      </c>
      <c r="N279" s="12" t="s">
        <v>2605</v>
      </c>
      <c r="O279" s="12" t="s">
        <v>2628</v>
      </c>
      <c r="P279" s="14" t="s">
        <v>2615</v>
      </c>
      <c r="Q279">
        <v>1</v>
      </c>
      <c r="R279" s="20"/>
    </row>
    <row r="280" spans="1:18" ht="20.100000000000001" customHeight="1">
      <c r="A280" s="7">
        <v>275</v>
      </c>
      <c r="B280" s="8">
        <v>3204392002</v>
      </c>
      <c r="C280" s="9" t="s">
        <v>86</v>
      </c>
      <c r="D280" s="10" t="s">
        <v>22</v>
      </c>
      <c r="E280" s="11" t="s">
        <v>1216</v>
      </c>
      <c r="F280" s="11" t="s">
        <v>1217</v>
      </c>
      <c r="G280" s="9" t="s">
        <v>1215</v>
      </c>
      <c r="H280" s="9" t="s">
        <v>101</v>
      </c>
      <c r="I280" s="9" t="s">
        <v>101</v>
      </c>
      <c r="J280" s="9" t="s">
        <v>100</v>
      </c>
      <c r="K280" s="12" t="s">
        <v>19</v>
      </c>
      <c r="L280" s="13" t="s">
        <v>20</v>
      </c>
      <c r="M280" s="12" t="s">
        <v>2604</v>
      </c>
      <c r="N280" s="12" t="s">
        <v>2605</v>
      </c>
      <c r="O280" s="12" t="s">
        <v>2611</v>
      </c>
      <c r="P280" s="14" t="s">
        <v>2607</v>
      </c>
      <c r="Q280">
        <v>1</v>
      </c>
      <c r="R280" s="20"/>
    </row>
    <row r="281" spans="1:18" ht="20.100000000000001" customHeight="1">
      <c r="A281" s="7">
        <v>276</v>
      </c>
      <c r="B281" s="8">
        <v>3204392002</v>
      </c>
      <c r="C281" s="9" t="s">
        <v>86</v>
      </c>
      <c r="D281" s="10" t="s">
        <v>22</v>
      </c>
      <c r="E281" s="11" t="s">
        <v>1218</v>
      </c>
      <c r="F281" s="11" t="s">
        <v>1219</v>
      </c>
      <c r="G281" s="9" t="s">
        <v>1211</v>
      </c>
      <c r="H281" s="9" t="s">
        <v>101</v>
      </c>
      <c r="I281" s="9" t="s">
        <v>101</v>
      </c>
      <c r="J281" s="9" t="s">
        <v>100</v>
      </c>
      <c r="K281" s="12" t="s">
        <v>19</v>
      </c>
      <c r="L281" s="13" t="s">
        <v>20</v>
      </c>
      <c r="M281" s="12" t="s">
        <v>2604</v>
      </c>
      <c r="N281" s="12" t="s">
        <v>2605</v>
      </c>
      <c r="O281" s="12" t="s">
        <v>2608</v>
      </c>
      <c r="P281" s="14" t="s">
        <v>2607</v>
      </c>
      <c r="Q281">
        <v>1</v>
      </c>
      <c r="R281" s="20"/>
    </row>
    <row r="282" spans="1:18" ht="20.100000000000001" customHeight="1">
      <c r="A282" s="7">
        <v>277</v>
      </c>
      <c r="B282" s="8">
        <v>3204392002</v>
      </c>
      <c r="C282" s="9" t="s">
        <v>1220</v>
      </c>
      <c r="D282" s="10" t="s">
        <v>22</v>
      </c>
      <c r="E282" s="11" t="s">
        <v>1221</v>
      </c>
      <c r="F282" s="11" t="s">
        <v>1222</v>
      </c>
      <c r="G282" s="9" t="s">
        <v>1223</v>
      </c>
      <c r="H282" s="9" t="s">
        <v>101</v>
      </c>
      <c r="I282" s="9" t="s">
        <v>101</v>
      </c>
      <c r="J282" s="9" t="s">
        <v>100</v>
      </c>
      <c r="K282" s="12" t="s">
        <v>19</v>
      </c>
      <c r="L282" s="13" t="s">
        <v>20</v>
      </c>
      <c r="M282" s="12" t="s">
        <v>2604</v>
      </c>
      <c r="N282" s="12" t="s">
        <v>2605</v>
      </c>
      <c r="O282" s="12" t="s">
        <v>2608</v>
      </c>
      <c r="P282" s="14" t="s">
        <v>2607</v>
      </c>
      <c r="Q282">
        <v>1</v>
      </c>
      <c r="R282" s="20"/>
    </row>
    <row r="283" spans="1:18" ht="20.100000000000001" customHeight="1">
      <c r="A283" s="7">
        <v>278</v>
      </c>
      <c r="B283" s="8">
        <v>3204392002</v>
      </c>
      <c r="C283" s="9" t="s">
        <v>1224</v>
      </c>
      <c r="D283" s="10" t="s">
        <v>22</v>
      </c>
      <c r="E283" s="11" t="s">
        <v>1225</v>
      </c>
      <c r="F283" s="11" t="s">
        <v>1226</v>
      </c>
      <c r="G283" s="9" t="s">
        <v>1223</v>
      </c>
      <c r="H283" s="9" t="s">
        <v>101</v>
      </c>
      <c r="I283" s="9" t="s">
        <v>101</v>
      </c>
      <c r="J283" s="9" t="s">
        <v>100</v>
      </c>
      <c r="K283" s="12" t="s">
        <v>19</v>
      </c>
      <c r="L283" s="13" t="s">
        <v>20</v>
      </c>
      <c r="M283" s="12" t="s">
        <v>2604</v>
      </c>
      <c r="N283" s="12" t="s">
        <v>2605</v>
      </c>
      <c r="O283" s="12" t="s">
        <v>2606</v>
      </c>
      <c r="P283" s="14" t="s">
        <v>2607</v>
      </c>
      <c r="Q283">
        <v>1</v>
      </c>
      <c r="R283" s="20"/>
    </row>
    <row r="284" spans="1:18" ht="20.100000000000001" customHeight="1">
      <c r="A284" s="7">
        <v>279</v>
      </c>
      <c r="B284" s="8">
        <v>3204392002</v>
      </c>
      <c r="C284" s="9" t="s">
        <v>211</v>
      </c>
      <c r="D284" s="10" t="s">
        <v>22</v>
      </c>
      <c r="E284" s="11" t="s">
        <v>1227</v>
      </c>
      <c r="F284" s="11" t="s">
        <v>1228</v>
      </c>
      <c r="G284" s="9" t="s">
        <v>1229</v>
      </c>
      <c r="H284" s="9" t="s">
        <v>101</v>
      </c>
      <c r="I284" s="9" t="s">
        <v>101</v>
      </c>
      <c r="J284" s="9" t="s">
        <v>100</v>
      </c>
      <c r="K284" s="12" t="s">
        <v>19</v>
      </c>
      <c r="L284" s="13" t="s">
        <v>20</v>
      </c>
      <c r="M284" s="12" t="s">
        <v>2604</v>
      </c>
      <c r="N284" s="12" t="s">
        <v>2605</v>
      </c>
      <c r="O284" s="12" t="s">
        <v>2617</v>
      </c>
      <c r="P284" s="14" t="s">
        <v>2610</v>
      </c>
      <c r="Q284">
        <v>1</v>
      </c>
      <c r="R284" s="20"/>
    </row>
    <row r="285" spans="1:18" ht="20.100000000000001" customHeight="1">
      <c r="A285" s="7">
        <v>280</v>
      </c>
      <c r="B285" s="8">
        <v>3204392002</v>
      </c>
      <c r="C285" s="9" t="s">
        <v>216</v>
      </c>
      <c r="D285" s="10" t="s">
        <v>22</v>
      </c>
      <c r="E285" s="11" t="s">
        <v>1230</v>
      </c>
      <c r="F285" s="11" t="s">
        <v>1231</v>
      </c>
      <c r="G285" s="9" t="s">
        <v>1229</v>
      </c>
      <c r="H285" s="9" t="s">
        <v>101</v>
      </c>
      <c r="I285" s="9" t="s">
        <v>101</v>
      </c>
      <c r="J285" s="9" t="s">
        <v>100</v>
      </c>
      <c r="K285" s="12" t="s">
        <v>19</v>
      </c>
      <c r="L285" s="13" t="s">
        <v>20</v>
      </c>
      <c r="M285" s="12" t="s">
        <v>2604</v>
      </c>
      <c r="N285" s="12" t="s">
        <v>2605</v>
      </c>
      <c r="O285" s="12" t="s">
        <v>2608</v>
      </c>
      <c r="P285" s="14" t="s">
        <v>2607</v>
      </c>
      <c r="Q285">
        <v>1</v>
      </c>
      <c r="R285" s="20"/>
    </row>
    <row r="286" spans="1:18" ht="20.100000000000001" customHeight="1">
      <c r="A286" s="7">
        <v>281</v>
      </c>
      <c r="B286" s="8">
        <v>3204392006</v>
      </c>
      <c r="C286" s="9" t="s">
        <v>186</v>
      </c>
      <c r="D286" s="10" t="s">
        <v>22</v>
      </c>
      <c r="E286" s="11" t="s">
        <v>1232</v>
      </c>
      <c r="F286" s="11" t="s">
        <v>1233</v>
      </c>
      <c r="G286" s="9" t="s">
        <v>1234</v>
      </c>
      <c r="H286" s="9" t="s">
        <v>1235</v>
      </c>
      <c r="I286" s="9" t="s">
        <v>101</v>
      </c>
      <c r="J286" s="9" t="s">
        <v>100</v>
      </c>
      <c r="K286" s="12" t="s">
        <v>19</v>
      </c>
      <c r="L286" s="13" t="s">
        <v>20</v>
      </c>
      <c r="M286" s="12" t="s">
        <v>2604</v>
      </c>
      <c r="N286" s="12" t="s">
        <v>2605</v>
      </c>
      <c r="O286" s="12" t="s">
        <v>2619</v>
      </c>
      <c r="P286" s="14" t="s">
        <v>2610</v>
      </c>
      <c r="Q286">
        <v>1</v>
      </c>
      <c r="R286" s="20">
        <f>SUM(Q286:Q300)</f>
        <v>15</v>
      </c>
    </row>
    <row r="287" spans="1:18" ht="20.100000000000001" customHeight="1">
      <c r="A287" s="7">
        <v>282</v>
      </c>
      <c r="B287" s="8">
        <v>3204392006</v>
      </c>
      <c r="C287" s="9" t="s">
        <v>1236</v>
      </c>
      <c r="D287" s="10" t="s">
        <v>22</v>
      </c>
      <c r="E287" s="11" t="s">
        <v>1237</v>
      </c>
      <c r="F287" s="11" t="s">
        <v>1238</v>
      </c>
      <c r="G287" s="9" t="s">
        <v>1239</v>
      </c>
      <c r="H287" s="9" t="s">
        <v>1235</v>
      </c>
      <c r="I287" s="9" t="s">
        <v>101</v>
      </c>
      <c r="J287" s="9" t="s">
        <v>100</v>
      </c>
      <c r="K287" s="12" t="s">
        <v>19</v>
      </c>
      <c r="L287" s="13" t="s">
        <v>20</v>
      </c>
      <c r="M287" s="12" t="s">
        <v>2604</v>
      </c>
      <c r="N287" s="12" t="s">
        <v>2605</v>
      </c>
      <c r="O287" s="12" t="s">
        <v>2608</v>
      </c>
      <c r="P287" s="14" t="s">
        <v>2607</v>
      </c>
      <c r="Q287">
        <v>1</v>
      </c>
      <c r="R287" s="20"/>
    </row>
    <row r="288" spans="1:18" ht="20.100000000000001" customHeight="1">
      <c r="A288" s="7">
        <v>283</v>
      </c>
      <c r="B288" s="8">
        <v>3204392006</v>
      </c>
      <c r="C288" s="9" t="s">
        <v>1240</v>
      </c>
      <c r="D288" s="10" t="s">
        <v>22</v>
      </c>
      <c r="E288" s="11" t="s">
        <v>1241</v>
      </c>
      <c r="F288" s="11" t="s">
        <v>1242</v>
      </c>
      <c r="G288" s="9" t="s">
        <v>1243</v>
      </c>
      <c r="H288" s="9" t="s">
        <v>1235</v>
      </c>
      <c r="I288" s="9" t="s">
        <v>101</v>
      </c>
      <c r="J288" s="9" t="s">
        <v>100</v>
      </c>
      <c r="K288" s="12" t="s">
        <v>19</v>
      </c>
      <c r="L288" s="13" t="s">
        <v>20</v>
      </c>
      <c r="M288" s="12" t="s">
        <v>2604</v>
      </c>
      <c r="N288" s="12" t="s">
        <v>2605</v>
      </c>
      <c r="O288" s="12" t="s">
        <v>2612</v>
      </c>
      <c r="P288" s="14" t="s">
        <v>2613</v>
      </c>
      <c r="Q288">
        <v>1</v>
      </c>
      <c r="R288" s="20"/>
    </row>
    <row r="289" spans="1:18" ht="20.100000000000001" customHeight="1">
      <c r="A289" s="7">
        <v>284</v>
      </c>
      <c r="B289" s="8">
        <v>3204392006</v>
      </c>
      <c r="C289" s="9" t="s">
        <v>165</v>
      </c>
      <c r="D289" s="10" t="s">
        <v>22</v>
      </c>
      <c r="E289" s="11" t="s">
        <v>1244</v>
      </c>
      <c r="F289" s="11" t="s">
        <v>1245</v>
      </c>
      <c r="G289" s="9" t="s">
        <v>1246</v>
      </c>
      <c r="H289" s="9" t="s">
        <v>1235</v>
      </c>
      <c r="I289" s="9" t="s">
        <v>101</v>
      </c>
      <c r="J289" s="9" t="s">
        <v>100</v>
      </c>
      <c r="K289" s="12" t="s">
        <v>19</v>
      </c>
      <c r="L289" s="13" t="s">
        <v>20</v>
      </c>
      <c r="M289" s="12" t="s">
        <v>2604</v>
      </c>
      <c r="N289" s="12" t="s">
        <v>2605</v>
      </c>
      <c r="O289" s="12" t="s">
        <v>2612</v>
      </c>
      <c r="P289" s="14" t="s">
        <v>2613</v>
      </c>
      <c r="Q289">
        <v>1</v>
      </c>
      <c r="R289" s="20"/>
    </row>
    <row r="290" spans="1:18" ht="20.100000000000001" customHeight="1">
      <c r="A290" s="7">
        <v>285</v>
      </c>
      <c r="B290" s="8">
        <v>3204392006</v>
      </c>
      <c r="C290" s="9" t="s">
        <v>1247</v>
      </c>
      <c r="D290" s="10" t="s">
        <v>18</v>
      </c>
      <c r="E290" s="11" t="s">
        <v>1248</v>
      </c>
      <c r="F290" s="11" t="s">
        <v>1249</v>
      </c>
      <c r="G290" s="9" t="s">
        <v>1250</v>
      </c>
      <c r="H290" s="9" t="s">
        <v>1235</v>
      </c>
      <c r="I290" s="9" t="s">
        <v>101</v>
      </c>
      <c r="J290" s="9" t="s">
        <v>100</v>
      </c>
      <c r="K290" s="12" t="s">
        <v>19</v>
      </c>
      <c r="L290" s="13" t="s">
        <v>20</v>
      </c>
      <c r="M290" s="12" t="s">
        <v>2604</v>
      </c>
      <c r="N290" s="12" t="s">
        <v>2605</v>
      </c>
      <c r="O290" s="12" t="s">
        <v>2608</v>
      </c>
      <c r="P290" s="14" t="s">
        <v>2607</v>
      </c>
      <c r="Q290">
        <v>1</v>
      </c>
      <c r="R290" s="20"/>
    </row>
    <row r="291" spans="1:18" ht="20.100000000000001" customHeight="1">
      <c r="A291" s="7">
        <v>286</v>
      </c>
      <c r="B291" s="8">
        <v>3204392006</v>
      </c>
      <c r="C291" s="9" t="s">
        <v>206</v>
      </c>
      <c r="D291" s="10" t="s">
        <v>22</v>
      </c>
      <c r="E291" s="11" t="s">
        <v>1251</v>
      </c>
      <c r="F291" s="11" t="s">
        <v>1252</v>
      </c>
      <c r="G291" s="9" t="s">
        <v>1253</v>
      </c>
      <c r="H291" s="9" t="s">
        <v>1235</v>
      </c>
      <c r="I291" s="9" t="s">
        <v>101</v>
      </c>
      <c r="J291" s="9" t="s">
        <v>100</v>
      </c>
      <c r="K291" s="12" t="s">
        <v>19</v>
      </c>
      <c r="L291" s="13" t="s">
        <v>20</v>
      </c>
      <c r="M291" s="12" t="s">
        <v>2604</v>
      </c>
      <c r="N291" s="12" t="s">
        <v>2605</v>
      </c>
      <c r="O291" s="12" t="s">
        <v>2625</v>
      </c>
      <c r="P291" s="14" t="s">
        <v>2610</v>
      </c>
      <c r="Q291">
        <v>1</v>
      </c>
      <c r="R291" s="20"/>
    </row>
    <row r="292" spans="1:18" ht="20.100000000000001" customHeight="1">
      <c r="A292" s="7">
        <v>287</v>
      </c>
      <c r="B292" s="8">
        <v>3204392006</v>
      </c>
      <c r="C292" s="9" t="s">
        <v>1254</v>
      </c>
      <c r="D292" s="10" t="s">
        <v>18</v>
      </c>
      <c r="E292" s="11" t="s">
        <v>1255</v>
      </c>
      <c r="F292" s="11" t="s">
        <v>1256</v>
      </c>
      <c r="G292" s="9" t="s">
        <v>1257</v>
      </c>
      <c r="H292" s="9" t="s">
        <v>1235</v>
      </c>
      <c r="I292" s="9" t="s">
        <v>101</v>
      </c>
      <c r="J292" s="9" t="s">
        <v>100</v>
      </c>
      <c r="K292" s="12" t="s">
        <v>19</v>
      </c>
      <c r="L292" s="13" t="s">
        <v>20</v>
      </c>
      <c r="M292" s="12" t="s">
        <v>2604</v>
      </c>
      <c r="N292" s="12" t="s">
        <v>2605</v>
      </c>
      <c r="O292" s="12" t="s">
        <v>2608</v>
      </c>
      <c r="P292" s="14" t="s">
        <v>2607</v>
      </c>
      <c r="Q292">
        <v>1</v>
      </c>
      <c r="R292" s="20"/>
    </row>
    <row r="293" spans="1:18" ht="20.100000000000001" customHeight="1">
      <c r="A293" s="7">
        <v>288</v>
      </c>
      <c r="B293" s="8">
        <v>3204392006</v>
      </c>
      <c r="C293" s="9" t="s">
        <v>1258</v>
      </c>
      <c r="D293" s="10" t="s">
        <v>22</v>
      </c>
      <c r="E293" s="11" t="s">
        <v>1259</v>
      </c>
      <c r="F293" s="11" t="s">
        <v>1260</v>
      </c>
      <c r="G293" s="9" t="s">
        <v>1261</v>
      </c>
      <c r="H293" s="9" t="s">
        <v>1235</v>
      </c>
      <c r="I293" s="9" t="s">
        <v>101</v>
      </c>
      <c r="J293" s="9" t="s">
        <v>100</v>
      </c>
      <c r="K293" s="12" t="s">
        <v>19</v>
      </c>
      <c r="L293" s="13" t="s">
        <v>20</v>
      </c>
      <c r="M293" s="12" t="s">
        <v>2604</v>
      </c>
      <c r="N293" s="12" t="s">
        <v>2605</v>
      </c>
      <c r="O293" s="12" t="s">
        <v>2612</v>
      </c>
      <c r="P293" s="14" t="s">
        <v>2613</v>
      </c>
      <c r="Q293">
        <v>1</v>
      </c>
      <c r="R293" s="20"/>
    </row>
    <row r="294" spans="1:18" ht="20.100000000000001" customHeight="1">
      <c r="A294" s="7">
        <v>289</v>
      </c>
      <c r="B294" s="8">
        <v>3204392006</v>
      </c>
      <c r="C294" s="9" t="s">
        <v>1262</v>
      </c>
      <c r="D294" s="10" t="s">
        <v>22</v>
      </c>
      <c r="E294" s="11" t="s">
        <v>1263</v>
      </c>
      <c r="F294" s="11" t="s">
        <v>1264</v>
      </c>
      <c r="G294" s="9" t="s">
        <v>1265</v>
      </c>
      <c r="H294" s="9" t="s">
        <v>1235</v>
      </c>
      <c r="I294" s="9" t="s">
        <v>101</v>
      </c>
      <c r="J294" s="9" t="s">
        <v>100</v>
      </c>
      <c r="K294" s="12" t="s">
        <v>19</v>
      </c>
      <c r="L294" s="13" t="s">
        <v>20</v>
      </c>
      <c r="M294" s="12" t="s">
        <v>2604</v>
      </c>
      <c r="N294" s="12" t="s">
        <v>2605</v>
      </c>
      <c r="O294" s="12" t="s">
        <v>2606</v>
      </c>
      <c r="P294" s="14" t="s">
        <v>2607</v>
      </c>
      <c r="Q294">
        <v>1</v>
      </c>
      <c r="R294" s="20"/>
    </row>
    <row r="295" spans="1:18" ht="20.100000000000001" customHeight="1">
      <c r="A295" s="7">
        <v>290</v>
      </c>
      <c r="B295" s="8">
        <v>3204392006</v>
      </c>
      <c r="C295" s="9" t="s">
        <v>31</v>
      </c>
      <c r="D295" s="10" t="s">
        <v>22</v>
      </c>
      <c r="E295" s="11" t="s">
        <v>1266</v>
      </c>
      <c r="F295" s="11" t="s">
        <v>1267</v>
      </c>
      <c r="G295" s="9" t="s">
        <v>1268</v>
      </c>
      <c r="H295" s="9" t="s">
        <v>1235</v>
      </c>
      <c r="I295" s="9" t="s">
        <v>101</v>
      </c>
      <c r="J295" s="9" t="s">
        <v>100</v>
      </c>
      <c r="K295" s="12" t="s">
        <v>19</v>
      </c>
      <c r="L295" s="13" t="s">
        <v>20</v>
      </c>
      <c r="M295" s="12" t="s">
        <v>2604</v>
      </c>
      <c r="N295" s="12" t="s">
        <v>2605</v>
      </c>
      <c r="O295" s="12" t="s">
        <v>2612</v>
      </c>
      <c r="P295" s="14" t="s">
        <v>2613</v>
      </c>
      <c r="Q295">
        <v>1</v>
      </c>
      <c r="R295" s="20"/>
    </row>
    <row r="296" spans="1:18" ht="20.100000000000001" customHeight="1">
      <c r="A296" s="7">
        <v>291</v>
      </c>
      <c r="B296" s="8">
        <v>3204392006</v>
      </c>
      <c r="C296" s="9" t="s">
        <v>157</v>
      </c>
      <c r="D296" s="10" t="s">
        <v>22</v>
      </c>
      <c r="E296" s="11" t="s">
        <v>1269</v>
      </c>
      <c r="F296" s="11" t="s">
        <v>1270</v>
      </c>
      <c r="G296" s="9" t="s">
        <v>1271</v>
      </c>
      <c r="H296" s="9" t="s">
        <v>1235</v>
      </c>
      <c r="I296" s="9" t="s">
        <v>101</v>
      </c>
      <c r="J296" s="9" t="s">
        <v>100</v>
      </c>
      <c r="K296" s="12" t="s">
        <v>19</v>
      </c>
      <c r="L296" s="13" t="s">
        <v>20</v>
      </c>
      <c r="M296" s="12" t="s">
        <v>2604</v>
      </c>
      <c r="N296" s="12" t="s">
        <v>2605</v>
      </c>
      <c r="O296" s="12" t="s">
        <v>2608</v>
      </c>
      <c r="P296" s="14" t="s">
        <v>2607</v>
      </c>
      <c r="Q296">
        <v>1</v>
      </c>
      <c r="R296" s="20"/>
    </row>
    <row r="297" spans="1:18" ht="20.100000000000001" customHeight="1">
      <c r="A297" s="7">
        <v>292</v>
      </c>
      <c r="B297" s="8">
        <v>3204392006</v>
      </c>
      <c r="C297" s="9" t="s">
        <v>88</v>
      </c>
      <c r="D297" s="10" t="s">
        <v>22</v>
      </c>
      <c r="E297" s="11" t="s">
        <v>1272</v>
      </c>
      <c r="F297" s="11" t="s">
        <v>1273</v>
      </c>
      <c r="G297" s="9" t="s">
        <v>1274</v>
      </c>
      <c r="H297" s="9" t="s">
        <v>1235</v>
      </c>
      <c r="I297" s="9" t="s">
        <v>101</v>
      </c>
      <c r="J297" s="9" t="s">
        <v>100</v>
      </c>
      <c r="K297" s="12" t="s">
        <v>19</v>
      </c>
      <c r="L297" s="13" t="s">
        <v>20</v>
      </c>
      <c r="M297" s="12" t="s">
        <v>2604</v>
      </c>
      <c r="N297" s="12" t="s">
        <v>2605</v>
      </c>
      <c r="O297" s="12" t="s">
        <v>2616</v>
      </c>
      <c r="P297" s="14" t="s">
        <v>2607</v>
      </c>
      <c r="Q297">
        <v>1</v>
      </c>
      <c r="R297" s="20"/>
    </row>
    <row r="298" spans="1:18" ht="20.100000000000001" customHeight="1">
      <c r="A298" s="7">
        <v>293</v>
      </c>
      <c r="B298" s="8">
        <v>3204392006</v>
      </c>
      <c r="C298" s="9" t="s">
        <v>1275</v>
      </c>
      <c r="D298" s="10" t="s">
        <v>22</v>
      </c>
      <c r="E298" s="11" t="s">
        <v>1276</v>
      </c>
      <c r="F298" s="11" t="s">
        <v>1277</v>
      </c>
      <c r="G298" s="9" t="s">
        <v>1278</v>
      </c>
      <c r="H298" s="9" t="s">
        <v>1235</v>
      </c>
      <c r="I298" s="9" t="s">
        <v>101</v>
      </c>
      <c r="J298" s="9" t="s">
        <v>100</v>
      </c>
      <c r="K298" s="12" t="s">
        <v>19</v>
      </c>
      <c r="L298" s="13" t="s">
        <v>20</v>
      </c>
      <c r="M298" s="12" t="s">
        <v>2604</v>
      </c>
      <c r="N298" s="12" t="s">
        <v>2605</v>
      </c>
      <c r="O298" s="12" t="s">
        <v>2623</v>
      </c>
      <c r="P298" s="14" t="s">
        <v>2615</v>
      </c>
      <c r="Q298">
        <v>1</v>
      </c>
      <c r="R298" s="20"/>
    </row>
    <row r="299" spans="1:18" ht="20.100000000000001" customHeight="1">
      <c r="A299" s="7">
        <v>294</v>
      </c>
      <c r="B299" s="8">
        <v>3204392006</v>
      </c>
      <c r="C299" s="9" t="s">
        <v>65</v>
      </c>
      <c r="D299" s="10" t="s">
        <v>22</v>
      </c>
      <c r="E299" s="11" t="s">
        <v>1279</v>
      </c>
      <c r="F299" s="11" t="s">
        <v>1280</v>
      </c>
      <c r="G299" s="9" t="s">
        <v>1261</v>
      </c>
      <c r="H299" s="9" t="s">
        <v>1235</v>
      </c>
      <c r="I299" s="9" t="s">
        <v>101</v>
      </c>
      <c r="J299" s="9" t="s">
        <v>100</v>
      </c>
      <c r="K299" s="12" t="s">
        <v>19</v>
      </c>
      <c r="L299" s="13" t="s">
        <v>20</v>
      </c>
      <c r="M299" s="12" t="s">
        <v>2604</v>
      </c>
      <c r="N299" s="12" t="s">
        <v>2605</v>
      </c>
      <c r="O299" s="12" t="s">
        <v>2616</v>
      </c>
      <c r="P299" s="14" t="s">
        <v>2607</v>
      </c>
      <c r="Q299">
        <v>1</v>
      </c>
      <c r="R299" s="20"/>
    </row>
    <row r="300" spans="1:18" ht="20.100000000000001" customHeight="1">
      <c r="A300" s="7">
        <v>295</v>
      </c>
      <c r="B300" s="8">
        <v>3204392006</v>
      </c>
      <c r="C300" s="9" t="s">
        <v>1281</v>
      </c>
      <c r="D300" s="10" t="s">
        <v>22</v>
      </c>
      <c r="E300" s="11" t="s">
        <v>1282</v>
      </c>
      <c r="F300" s="11" t="s">
        <v>1283</v>
      </c>
      <c r="G300" s="9" t="s">
        <v>1284</v>
      </c>
      <c r="H300" s="9" t="s">
        <v>1235</v>
      </c>
      <c r="I300" s="9" t="s">
        <v>101</v>
      </c>
      <c r="J300" s="9" t="s">
        <v>100</v>
      </c>
      <c r="K300" s="12" t="s">
        <v>19</v>
      </c>
      <c r="L300" s="13" t="s">
        <v>20</v>
      </c>
      <c r="M300" s="12" t="s">
        <v>2604</v>
      </c>
      <c r="N300" s="12" t="s">
        <v>2605</v>
      </c>
      <c r="O300" s="12" t="s">
        <v>2611</v>
      </c>
      <c r="P300" s="14" t="s">
        <v>2607</v>
      </c>
      <c r="Q300">
        <v>1</v>
      </c>
      <c r="R300" s="20"/>
    </row>
    <row r="301" spans="1:18" ht="20.100000000000001" customHeight="1">
      <c r="A301" s="7">
        <v>296</v>
      </c>
      <c r="B301" s="8">
        <v>3204122005</v>
      </c>
      <c r="C301" s="9" t="s">
        <v>1285</v>
      </c>
      <c r="D301" s="10" t="s">
        <v>22</v>
      </c>
      <c r="E301" s="11" t="s">
        <v>1286</v>
      </c>
      <c r="F301" s="11" t="s">
        <v>1287</v>
      </c>
      <c r="G301" s="9" t="s">
        <v>1288</v>
      </c>
      <c r="H301" s="9" t="s">
        <v>1289</v>
      </c>
      <c r="I301" s="9" t="s">
        <v>1290</v>
      </c>
      <c r="J301" s="9" t="s">
        <v>100</v>
      </c>
      <c r="K301" s="12" t="s">
        <v>19</v>
      </c>
      <c r="L301" s="13" t="s">
        <v>20</v>
      </c>
      <c r="M301" s="12" t="s">
        <v>2604</v>
      </c>
      <c r="N301" s="12" t="s">
        <v>2605</v>
      </c>
      <c r="O301" s="12" t="s">
        <v>2628</v>
      </c>
      <c r="P301" s="14" t="s">
        <v>2615</v>
      </c>
      <c r="Q301">
        <v>1</v>
      </c>
      <c r="R301" s="20">
        <f>SUM(Q301:Q311)</f>
        <v>11</v>
      </c>
    </row>
    <row r="302" spans="1:18" ht="20.100000000000001" customHeight="1">
      <c r="A302" s="7">
        <v>297</v>
      </c>
      <c r="B302" s="8">
        <v>3204122005</v>
      </c>
      <c r="C302" s="9" t="s">
        <v>204</v>
      </c>
      <c r="D302" s="10" t="s">
        <v>18</v>
      </c>
      <c r="E302" s="11" t="s">
        <v>1291</v>
      </c>
      <c r="F302" s="11" t="s">
        <v>1292</v>
      </c>
      <c r="G302" s="9" t="s">
        <v>1293</v>
      </c>
      <c r="H302" s="9" t="s">
        <v>1289</v>
      </c>
      <c r="I302" s="9" t="s">
        <v>1290</v>
      </c>
      <c r="J302" s="9" t="s">
        <v>100</v>
      </c>
      <c r="K302" s="12" t="s">
        <v>19</v>
      </c>
      <c r="L302" s="13" t="s">
        <v>20</v>
      </c>
      <c r="M302" s="12" t="s">
        <v>2604</v>
      </c>
      <c r="N302" s="12" t="s">
        <v>2605</v>
      </c>
      <c r="O302" s="12" t="s">
        <v>2632</v>
      </c>
      <c r="P302" s="14" t="s">
        <v>2613</v>
      </c>
      <c r="Q302">
        <v>1</v>
      </c>
      <c r="R302" s="20"/>
    </row>
    <row r="303" spans="1:18" ht="20.100000000000001" customHeight="1">
      <c r="A303" s="7">
        <v>298</v>
      </c>
      <c r="B303" s="8">
        <v>3204122005</v>
      </c>
      <c r="C303" s="9" t="s">
        <v>1294</v>
      </c>
      <c r="D303" s="10" t="s">
        <v>18</v>
      </c>
      <c r="E303" s="11" t="s">
        <v>1295</v>
      </c>
      <c r="F303" s="11" t="s">
        <v>1296</v>
      </c>
      <c r="G303" s="9" t="s">
        <v>1297</v>
      </c>
      <c r="H303" s="9" t="s">
        <v>1289</v>
      </c>
      <c r="I303" s="9" t="s">
        <v>1290</v>
      </c>
      <c r="J303" s="9" t="s">
        <v>100</v>
      </c>
      <c r="K303" s="12" t="s">
        <v>19</v>
      </c>
      <c r="L303" s="13" t="s">
        <v>20</v>
      </c>
      <c r="M303" s="12" t="s">
        <v>2604</v>
      </c>
      <c r="N303" s="12" t="s">
        <v>2605</v>
      </c>
      <c r="O303" s="12" t="s">
        <v>195</v>
      </c>
      <c r="P303" s="14" t="s">
        <v>2621</v>
      </c>
      <c r="Q303">
        <v>1</v>
      </c>
      <c r="R303" s="20"/>
    </row>
    <row r="304" spans="1:18" ht="20.100000000000001" customHeight="1">
      <c r="A304" s="7">
        <v>299</v>
      </c>
      <c r="B304" s="8">
        <v>3204122005</v>
      </c>
      <c r="C304" s="9" t="s">
        <v>158</v>
      </c>
      <c r="D304" s="10" t="s">
        <v>22</v>
      </c>
      <c r="E304" s="11" t="s">
        <v>1298</v>
      </c>
      <c r="F304" s="11" t="s">
        <v>1299</v>
      </c>
      <c r="G304" s="9" t="s">
        <v>1300</v>
      </c>
      <c r="H304" s="9" t="s">
        <v>1289</v>
      </c>
      <c r="I304" s="9" t="s">
        <v>1290</v>
      </c>
      <c r="J304" s="9" t="s">
        <v>100</v>
      </c>
      <c r="K304" s="12" t="s">
        <v>19</v>
      </c>
      <c r="L304" s="13" t="s">
        <v>20</v>
      </c>
      <c r="M304" s="12" t="s">
        <v>2604</v>
      </c>
      <c r="N304" s="12" t="s">
        <v>2605</v>
      </c>
      <c r="O304" s="12" t="s">
        <v>2624</v>
      </c>
      <c r="P304" s="14" t="s">
        <v>2615</v>
      </c>
      <c r="Q304">
        <v>1</v>
      </c>
      <c r="R304" s="20"/>
    </row>
    <row r="305" spans="1:18" ht="20.100000000000001" customHeight="1">
      <c r="A305" s="7">
        <v>300</v>
      </c>
      <c r="B305" s="8">
        <v>3204122005</v>
      </c>
      <c r="C305" s="9" t="s">
        <v>139</v>
      </c>
      <c r="D305" s="10" t="s">
        <v>22</v>
      </c>
      <c r="E305" s="11" t="s">
        <v>1301</v>
      </c>
      <c r="F305" s="11" t="s">
        <v>1302</v>
      </c>
      <c r="G305" s="9" t="s">
        <v>1303</v>
      </c>
      <c r="H305" s="9" t="s">
        <v>1289</v>
      </c>
      <c r="I305" s="9" t="s">
        <v>1290</v>
      </c>
      <c r="J305" s="9" t="s">
        <v>100</v>
      </c>
      <c r="K305" s="12" t="s">
        <v>19</v>
      </c>
      <c r="L305" s="13" t="s">
        <v>20</v>
      </c>
      <c r="M305" s="12" t="s">
        <v>2604</v>
      </c>
      <c r="N305" s="12" t="s">
        <v>2605</v>
      </c>
      <c r="O305" s="12" t="s">
        <v>2606</v>
      </c>
      <c r="P305" s="14" t="s">
        <v>2607</v>
      </c>
      <c r="Q305">
        <v>1</v>
      </c>
      <c r="R305" s="20"/>
    </row>
    <row r="306" spans="1:18" ht="20.100000000000001" customHeight="1">
      <c r="A306" s="7">
        <v>301</v>
      </c>
      <c r="B306" s="8">
        <v>3204122005</v>
      </c>
      <c r="C306" s="9" t="s">
        <v>1304</v>
      </c>
      <c r="D306" s="10" t="s">
        <v>22</v>
      </c>
      <c r="E306" s="11" t="s">
        <v>1305</v>
      </c>
      <c r="F306" s="11" t="s">
        <v>1306</v>
      </c>
      <c r="G306" s="9" t="s">
        <v>1307</v>
      </c>
      <c r="H306" s="9" t="s">
        <v>1289</v>
      </c>
      <c r="I306" s="9" t="s">
        <v>1290</v>
      </c>
      <c r="J306" s="9" t="s">
        <v>100</v>
      </c>
      <c r="K306" s="12" t="s">
        <v>19</v>
      </c>
      <c r="L306" s="13" t="s">
        <v>20</v>
      </c>
      <c r="M306" s="12" t="s">
        <v>2604</v>
      </c>
      <c r="N306" s="12" t="s">
        <v>2605</v>
      </c>
      <c r="O306" s="12" t="s">
        <v>2616</v>
      </c>
      <c r="P306" s="14" t="s">
        <v>2607</v>
      </c>
      <c r="Q306">
        <v>1</v>
      </c>
      <c r="R306" s="20"/>
    </row>
    <row r="307" spans="1:18" ht="20.100000000000001" customHeight="1">
      <c r="A307" s="7">
        <v>302</v>
      </c>
      <c r="B307" s="8">
        <v>3204122005</v>
      </c>
      <c r="C307" s="9" t="s">
        <v>1308</v>
      </c>
      <c r="D307" s="10" t="s">
        <v>22</v>
      </c>
      <c r="E307" s="11" t="s">
        <v>1309</v>
      </c>
      <c r="F307" s="11" t="s">
        <v>1310</v>
      </c>
      <c r="G307" s="9" t="s">
        <v>1311</v>
      </c>
      <c r="H307" s="9" t="s">
        <v>1289</v>
      </c>
      <c r="I307" s="9" t="s">
        <v>1290</v>
      </c>
      <c r="J307" s="9" t="s">
        <v>100</v>
      </c>
      <c r="K307" s="12" t="s">
        <v>19</v>
      </c>
      <c r="L307" s="13" t="s">
        <v>20</v>
      </c>
      <c r="M307" s="12" t="s">
        <v>2604</v>
      </c>
      <c r="N307" s="12" t="s">
        <v>2605</v>
      </c>
      <c r="O307" s="12" t="s">
        <v>2611</v>
      </c>
      <c r="P307" s="14" t="s">
        <v>2607</v>
      </c>
      <c r="Q307">
        <v>1</v>
      </c>
      <c r="R307" s="20"/>
    </row>
    <row r="308" spans="1:18" ht="20.100000000000001" customHeight="1">
      <c r="A308" s="7">
        <v>303</v>
      </c>
      <c r="B308" s="8">
        <v>3204122005</v>
      </c>
      <c r="C308" s="9" t="s">
        <v>160</v>
      </c>
      <c r="D308" s="10" t="s">
        <v>18</v>
      </c>
      <c r="E308" s="11" t="s">
        <v>1312</v>
      </c>
      <c r="F308" s="11" t="s">
        <v>1313</v>
      </c>
      <c r="G308" s="9" t="s">
        <v>1314</v>
      </c>
      <c r="H308" s="9" t="s">
        <v>1289</v>
      </c>
      <c r="I308" s="9" t="s">
        <v>1290</v>
      </c>
      <c r="J308" s="9" t="s">
        <v>100</v>
      </c>
      <c r="K308" s="12" t="s">
        <v>19</v>
      </c>
      <c r="L308" s="13" t="s">
        <v>20</v>
      </c>
      <c r="M308" s="12" t="s">
        <v>2604</v>
      </c>
      <c r="N308" s="12" t="s">
        <v>2605</v>
      </c>
      <c r="O308" s="12" t="s">
        <v>2622</v>
      </c>
      <c r="P308" s="14" t="s">
        <v>2607</v>
      </c>
      <c r="Q308">
        <v>1</v>
      </c>
      <c r="R308" s="20"/>
    </row>
    <row r="309" spans="1:18" ht="20.100000000000001" customHeight="1">
      <c r="A309" s="7">
        <v>304</v>
      </c>
      <c r="B309" s="8">
        <v>3204122005</v>
      </c>
      <c r="C309" s="9" t="s">
        <v>1315</v>
      </c>
      <c r="D309" s="10" t="s">
        <v>22</v>
      </c>
      <c r="E309" s="11" t="s">
        <v>1316</v>
      </c>
      <c r="F309" s="11" t="s">
        <v>1317</v>
      </c>
      <c r="G309" s="9" t="s">
        <v>1314</v>
      </c>
      <c r="H309" s="9" t="s">
        <v>1289</v>
      </c>
      <c r="I309" s="9" t="s">
        <v>1290</v>
      </c>
      <c r="J309" s="9" t="s">
        <v>100</v>
      </c>
      <c r="K309" s="12" t="s">
        <v>19</v>
      </c>
      <c r="L309" s="13" t="s">
        <v>20</v>
      </c>
      <c r="M309" s="12" t="s">
        <v>2604</v>
      </c>
      <c r="N309" s="12" t="s">
        <v>2605</v>
      </c>
      <c r="O309" s="12" t="s">
        <v>2616</v>
      </c>
      <c r="P309" s="14" t="s">
        <v>2607</v>
      </c>
      <c r="Q309">
        <v>1</v>
      </c>
      <c r="R309" s="20"/>
    </row>
    <row r="310" spans="1:18" ht="20.100000000000001" customHeight="1">
      <c r="A310" s="7">
        <v>305</v>
      </c>
      <c r="B310" s="8">
        <v>3204122005</v>
      </c>
      <c r="C310" s="9" t="s">
        <v>1318</v>
      </c>
      <c r="D310" s="10" t="s">
        <v>22</v>
      </c>
      <c r="E310" s="11" t="s">
        <v>1319</v>
      </c>
      <c r="F310" s="11" t="s">
        <v>1320</v>
      </c>
      <c r="G310" s="9" t="s">
        <v>1321</v>
      </c>
      <c r="H310" s="9" t="s">
        <v>1289</v>
      </c>
      <c r="I310" s="9" t="s">
        <v>1290</v>
      </c>
      <c r="J310" s="9" t="s">
        <v>100</v>
      </c>
      <c r="K310" s="12" t="s">
        <v>19</v>
      </c>
      <c r="L310" s="13" t="s">
        <v>20</v>
      </c>
      <c r="M310" s="12" t="s">
        <v>2604</v>
      </c>
      <c r="N310" s="12" t="s">
        <v>2605</v>
      </c>
      <c r="O310" s="12" t="s">
        <v>2608</v>
      </c>
      <c r="P310" s="14" t="s">
        <v>2607</v>
      </c>
      <c r="Q310">
        <v>1</v>
      </c>
      <c r="R310" s="20"/>
    </row>
    <row r="311" spans="1:18" ht="20.100000000000001" customHeight="1">
      <c r="A311" s="7">
        <v>306</v>
      </c>
      <c r="B311" s="8">
        <v>3204122005</v>
      </c>
      <c r="C311" s="9" t="s">
        <v>1322</v>
      </c>
      <c r="D311" s="10" t="s">
        <v>18</v>
      </c>
      <c r="E311" s="11" t="s">
        <v>1323</v>
      </c>
      <c r="F311" s="11" t="s">
        <v>1324</v>
      </c>
      <c r="G311" s="9" t="s">
        <v>1314</v>
      </c>
      <c r="H311" s="9" t="s">
        <v>1289</v>
      </c>
      <c r="I311" s="9" t="s">
        <v>1290</v>
      </c>
      <c r="J311" s="9" t="s">
        <v>100</v>
      </c>
      <c r="K311" s="12" t="s">
        <v>19</v>
      </c>
      <c r="L311" s="13" t="s">
        <v>20</v>
      </c>
      <c r="M311" s="12" t="s">
        <v>2604</v>
      </c>
      <c r="N311" s="12" t="s">
        <v>2605</v>
      </c>
      <c r="O311" s="12" t="s">
        <v>2616</v>
      </c>
      <c r="P311" s="14" t="s">
        <v>2607</v>
      </c>
      <c r="Q311">
        <v>1</v>
      </c>
      <c r="R311" s="20"/>
    </row>
    <row r="312" spans="1:18" ht="20.100000000000001" customHeight="1">
      <c r="A312" s="7">
        <v>307</v>
      </c>
      <c r="B312" s="8">
        <v>3204362011</v>
      </c>
      <c r="C312" s="9" t="s">
        <v>1325</v>
      </c>
      <c r="D312" s="10" t="s">
        <v>22</v>
      </c>
      <c r="E312" s="11" t="s">
        <v>1326</v>
      </c>
      <c r="F312" s="11" t="s">
        <v>1327</v>
      </c>
      <c r="G312" s="9" t="s">
        <v>1328</v>
      </c>
      <c r="H312" s="9" t="s">
        <v>1329</v>
      </c>
      <c r="I312" s="9" t="s">
        <v>1330</v>
      </c>
      <c r="J312" s="9" t="s">
        <v>100</v>
      </c>
      <c r="K312" s="12" t="s">
        <v>19</v>
      </c>
      <c r="L312" s="13" t="s">
        <v>20</v>
      </c>
      <c r="M312" s="12" t="s">
        <v>2604</v>
      </c>
      <c r="N312" s="12" t="s">
        <v>2605</v>
      </c>
      <c r="O312" s="12" t="s">
        <v>2606</v>
      </c>
      <c r="P312" s="14" t="s">
        <v>2607</v>
      </c>
      <c r="Q312">
        <v>1</v>
      </c>
      <c r="R312" s="20">
        <f>SUM(Q312:Q326)</f>
        <v>15</v>
      </c>
    </row>
    <row r="313" spans="1:18" ht="20.100000000000001" customHeight="1">
      <c r="A313" s="7">
        <v>308</v>
      </c>
      <c r="B313" s="8">
        <v>3204362011</v>
      </c>
      <c r="C313" s="9" t="s">
        <v>1331</v>
      </c>
      <c r="D313" s="10" t="s">
        <v>22</v>
      </c>
      <c r="E313" s="11" t="s">
        <v>1332</v>
      </c>
      <c r="F313" s="11" t="s">
        <v>1333</v>
      </c>
      <c r="G313" s="9" t="s">
        <v>1328</v>
      </c>
      <c r="H313" s="9" t="s">
        <v>1329</v>
      </c>
      <c r="I313" s="9" t="s">
        <v>1330</v>
      </c>
      <c r="J313" s="9" t="s">
        <v>100</v>
      </c>
      <c r="K313" s="12" t="s">
        <v>19</v>
      </c>
      <c r="L313" s="13" t="s">
        <v>20</v>
      </c>
      <c r="M313" s="12" t="s">
        <v>2604</v>
      </c>
      <c r="N313" s="12" t="s">
        <v>2605</v>
      </c>
      <c r="O313" s="12" t="s">
        <v>2627</v>
      </c>
      <c r="P313" s="14" t="s">
        <v>2610</v>
      </c>
      <c r="Q313">
        <v>1</v>
      </c>
      <c r="R313" s="20"/>
    </row>
    <row r="314" spans="1:18" ht="20.100000000000001" customHeight="1">
      <c r="A314" s="7">
        <v>309</v>
      </c>
      <c r="B314" s="8">
        <v>3204362011</v>
      </c>
      <c r="C314" s="9" t="s">
        <v>116</v>
      </c>
      <c r="D314" s="10" t="s">
        <v>18</v>
      </c>
      <c r="E314" s="11" t="s">
        <v>1334</v>
      </c>
      <c r="F314" s="11" t="s">
        <v>1335</v>
      </c>
      <c r="G314" s="9" t="s">
        <v>1328</v>
      </c>
      <c r="H314" s="9" t="s">
        <v>1329</v>
      </c>
      <c r="I314" s="9" t="s">
        <v>1330</v>
      </c>
      <c r="J314" s="9" t="s">
        <v>100</v>
      </c>
      <c r="K314" s="12" t="s">
        <v>19</v>
      </c>
      <c r="L314" s="13" t="s">
        <v>20</v>
      </c>
      <c r="M314" s="12" t="s">
        <v>2604</v>
      </c>
      <c r="N314" s="12" t="s">
        <v>2605</v>
      </c>
      <c r="O314" s="12" t="s">
        <v>2616</v>
      </c>
      <c r="P314" s="14" t="s">
        <v>2607</v>
      </c>
      <c r="Q314">
        <v>1</v>
      </c>
      <c r="R314" s="20"/>
    </row>
    <row r="315" spans="1:18" ht="20.100000000000001" customHeight="1">
      <c r="A315" s="7">
        <v>310</v>
      </c>
      <c r="B315" s="8">
        <v>3204362011</v>
      </c>
      <c r="C315" s="9" t="s">
        <v>1336</v>
      </c>
      <c r="D315" s="10" t="s">
        <v>22</v>
      </c>
      <c r="E315" s="11" t="s">
        <v>1337</v>
      </c>
      <c r="F315" s="11" t="s">
        <v>1338</v>
      </c>
      <c r="G315" s="9" t="s">
        <v>1328</v>
      </c>
      <c r="H315" s="9" t="s">
        <v>1329</v>
      </c>
      <c r="I315" s="9" t="s">
        <v>1330</v>
      </c>
      <c r="J315" s="9" t="s">
        <v>100</v>
      </c>
      <c r="K315" s="12" t="s">
        <v>19</v>
      </c>
      <c r="L315" s="13" t="s">
        <v>20</v>
      </c>
      <c r="M315" s="12" t="s">
        <v>2604</v>
      </c>
      <c r="N315" s="12" t="s">
        <v>2605</v>
      </c>
      <c r="O315" s="12" t="s">
        <v>2624</v>
      </c>
      <c r="P315" s="14" t="s">
        <v>2615</v>
      </c>
      <c r="Q315">
        <v>1</v>
      </c>
      <c r="R315" s="20"/>
    </row>
    <row r="316" spans="1:18" ht="20.100000000000001" customHeight="1">
      <c r="A316" s="7">
        <v>311</v>
      </c>
      <c r="B316" s="8">
        <v>3204362011</v>
      </c>
      <c r="C316" s="9" t="s">
        <v>171</v>
      </c>
      <c r="D316" s="10" t="s">
        <v>22</v>
      </c>
      <c r="E316" s="11" t="s">
        <v>1339</v>
      </c>
      <c r="F316" s="11" t="s">
        <v>1340</v>
      </c>
      <c r="G316" s="9" t="s">
        <v>1341</v>
      </c>
      <c r="H316" s="9" t="s">
        <v>1329</v>
      </c>
      <c r="I316" s="9" t="s">
        <v>1330</v>
      </c>
      <c r="J316" s="9" t="s">
        <v>100</v>
      </c>
      <c r="K316" s="12" t="s">
        <v>19</v>
      </c>
      <c r="L316" s="13" t="s">
        <v>20</v>
      </c>
      <c r="M316" s="12" t="s">
        <v>2604</v>
      </c>
      <c r="N316" s="12" t="s">
        <v>2605</v>
      </c>
      <c r="O316" s="12" t="s">
        <v>2608</v>
      </c>
      <c r="P316" s="14" t="s">
        <v>2607</v>
      </c>
      <c r="Q316">
        <v>1</v>
      </c>
      <c r="R316" s="20"/>
    </row>
    <row r="317" spans="1:18" ht="20.100000000000001" customHeight="1">
      <c r="A317" s="7">
        <v>312</v>
      </c>
      <c r="B317" s="8">
        <v>3204362011</v>
      </c>
      <c r="C317" s="9" t="s">
        <v>1342</v>
      </c>
      <c r="D317" s="10" t="s">
        <v>22</v>
      </c>
      <c r="E317" s="11" t="s">
        <v>1343</v>
      </c>
      <c r="F317" s="11" t="s">
        <v>1344</v>
      </c>
      <c r="G317" s="9" t="s">
        <v>1328</v>
      </c>
      <c r="H317" s="9" t="s">
        <v>1329</v>
      </c>
      <c r="I317" s="9" t="s">
        <v>1330</v>
      </c>
      <c r="J317" s="9" t="s">
        <v>100</v>
      </c>
      <c r="K317" s="12" t="s">
        <v>19</v>
      </c>
      <c r="L317" s="13" t="s">
        <v>20</v>
      </c>
      <c r="M317" s="12" t="s">
        <v>2604</v>
      </c>
      <c r="N317" s="12" t="s">
        <v>2605</v>
      </c>
      <c r="O317" s="12" t="s">
        <v>2606</v>
      </c>
      <c r="P317" s="14" t="s">
        <v>2607</v>
      </c>
      <c r="Q317">
        <v>1</v>
      </c>
      <c r="R317" s="20"/>
    </row>
    <row r="318" spans="1:18" ht="20.100000000000001" customHeight="1">
      <c r="A318" s="7">
        <v>313</v>
      </c>
      <c r="B318" s="8">
        <v>3204362011</v>
      </c>
      <c r="C318" s="9" t="s">
        <v>1345</v>
      </c>
      <c r="D318" s="10" t="s">
        <v>22</v>
      </c>
      <c r="E318" s="11" t="s">
        <v>1346</v>
      </c>
      <c r="F318" s="11" t="s">
        <v>1347</v>
      </c>
      <c r="G318" s="9" t="s">
        <v>1348</v>
      </c>
      <c r="H318" s="9" t="s">
        <v>1329</v>
      </c>
      <c r="I318" s="9" t="s">
        <v>1330</v>
      </c>
      <c r="J318" s="9" t="s">
        <v>100</v>
      </c>
      <c r="K318" s="12" t="s">
        <v>19</v>
      </c>
      <c r="L318" s="13" t="s">
        <v>20</v>
      </c>
      <c r="M318" s="12" t="s">
        <v>2604</v>
      </c>
      <c r="N318" s="12" t="s">
        <v>2605</v>
      </c>
      <c r="O318" s="12" t="s">
        <v>2623</v>
      </c>
      <c r="P318" s="14" t="s">
        <v>2615</v>
      </c>
      <c r="Q318">
        <v>1</v>
      </c>
      <c r="R318" s="20"/>
    </row>
    <row r="319" spans="1:18" ht="20.100000000000001" customHeight="1">
      <c r="A319" s="7">
        <v>314</v>
      </c>
      <c r="B319" s="8">
        <v>3204362011</v>
      </c>
      <c r="C319" s="9" t="s">
        <v>133</v>
      </c>
      <c r="D319" s="10" t="s">
        <v>18</v>
      </c>
      <c r="E319" s="11" t="s">
        <v>1349</v>
      </c>
      <c r="F319" s="11" t="s">
        <v>1350</v>
      </c>
      <c r="G319" s="9" t="s">
        <v>1348</v>
      </c>
      <c r="H319" s="9" t="s">
        <v>1329</v>
      </c>
      <c r="I319" s="9" t="s">
        <v>1330</v>
      </c>
      <c r="J319" s="9" t="s">
        <v>100</v>
      </c>
      <c r="K319" s="12" t="s">
        <v>19</v>
      </c>
      <c r="L319" s="13" t="s">
        <v>20</v>
      </c>
      <c r="M319" s="12" t="s">
        <v>2604</v>
      </c>
      <c r="N319" s="12" t="s">
        <v>2605</v>
      </c>
      <c r="O319" s="12" t="s">
        <v>2611</v>
      </c>
      <c r="P319" s="14" t="s">
        <v>2607</v>
      </c>
      <c r="Q319">
        <v>1</v>
      </c>
      <c r="R319" s="20"/>
    </row>
    <row r="320" spans="1:18" ht="20.100000000000001" customHeight="1">
      <c r="A320" s="7">
        <v>315</v>
      </c>
      <c r="B320" s="8">
        <v>3204362011</v>
      </c>
      <c r="C320" s="9" t="s">
        <v>1351</v>
      </c>
      <c r="D320" s="10" t="s">
        <v>22</v>
      </c>
      <c r="E320" s="11" t="s">
        <v>1352</v>
      </c>
      <c r="F320" s="11" t="s">
        <v>1353</v>
      </c>
      <c r="G320" s="9" t="s">
        <v>1328</v>
      </c>
      <c r="H320" s="9" t="s">
        <v>1329</v>
      </c>
      <c r="I320" s="9" t="s">
        <v>1330</v>
      </c>
      <c r="J320" s="9" t="s">
        <v>100</v>
      </c>
      <c r="K320" s="12" t="s">
        <v>19</v>
      </c>
      <c r="L320" s="13" t="s">
        <v>20</v>
      </c>
      <c r="M320" s="12" t="s">
        <v>2604</v>
      </c>
      <c r="N320" s="12" t="s">
        <v>2605</v>
      </c>
      <c r="O320" s="12" t="s">
        <v>2606</v>
      </c>
      <c r="P320" s="14" t="s">
        <v>2607</v>
      </c>
      <c r="Q320">
        <v>1</v>
      </c>
      <c r="R320" s="20"/>
    </row>
    <row r="321" spans="1:18" ht="20.100000000000001" customHeight="1">
      <c r="A321" s="7">
        <v>316</v>
      </c>
      <c r="B321" s="8">
        <v>3204362011</v>
      </c>
      <c r="C321" s="9" t="s">
        <v>34</v>
      </c>
      <c r="D321" s="10" t="s">
        <v>22</v>
      </c>
      <c r="E321" s="11" t="s">
        <v>1354</v>
      </c>
      <c r="F321" s="11" t="s">
        <v>1355</v>
      </c>
      <c r="G321" s="9" t="s">
        <v>1356</v>
      </c>
      <c r="H321" s="9" t="s">
        <v>1329</v>
      </c>
      <c r="I321" s="9" t="s">
        <v>1330</v>
      </c>
      <c r="J321" s="9" t="s">
        <v>100</v>
      </c>
      <c r="K321" s="12" t="s">
        <v>19</v>
      </c>
      <c r="L321" s="13" t="s">
        <v>20</v>
      </c>
      <c r="M321" s="12" t="s">
        <v>2604</v>
      </c>
      <c r="N321" s="12" t="s">
        <v>2605</v>
      </c>
      <c r="O321" s="12" t="s">
        <v>2609</v>
      </c>
      <c r="P321" s="14" t="s">
        <v>2610</v>
      </c>
      <c r="Q321">
        <v>1</v>
      </c>
      <c r="R321" s="20"/>
    </row>
    <row r="322" spans="1:18" ht="20.100000000000001" customHeight="1">
      <c r="A322" s="7">
        <v>317</v>
      </c>
      <c r="B322" s="8">
        <v>3204362011</v>
      </c>
      <c r="C322" s="9" t="s">
        <v>1357</v>
      </c>
      <c r="D322" s="10" t="s">
        <v>22</v>
      </c>
      <c r="E322" s="11" t="s">
        <v>1358</v>
      </c>
      <c r="F322" s="11" t="s">
        <v>1359</v>
      </c>
      <c r="G322" s="9" t="s">
        <v>1360</v>
      </c>
      <c r="H322" s="9" t="s">
        <v>1329</v>
      </c>
      <c r="I322" s="9" t="s">
        <v>1330</v>
      </c>
      <c r="J322" s="9" t="s">
        <v>100</v>
      </c>
      <c r="K322" s="12" t="s">
        <v>19</v>
      </c>
      <c r="L322" s="13" t="s">
        <v>20</v>
      </c>
      <c r="M322" s="12" t="s">
        <v>2604</v>
      </c>
      <c r="N322" s="12" t="s">
        <v>2605</v>
      </c>
      <c r="O322" s="12" t="s">
        <v>2612</v>
      </c>
      <c r="P322" s="14" t="s">
        <v>2613</v>
      </c>
      <c r="Q322">
        <v>1</v>
      </c>
      <c r="R322" s="20"/>
    </row>
    <row r="323" spans="1:18" ht="20.100000000000001" customHeight="1">
      <c r="A323" s="7">
        <v>318</v>
      </c>
      <c r="B323" s="8">
        <v>3204362011</v>
      </c>
      <c r="C323" s="9" t="s">
        <v>197</v>
      </c>
      <c r="D323" s="10" t="s">
        <v>22</v>
      </c>
      <c r="E323" s="11" t="s">
        <v>1361</v>
      </c>
      <c r="F323" s="11" t="s">
        <v>1362</v>
      </c>
      <c r="G323" s="9" t="s">
        <v>1363</v>
      </c>
      <c r="H323" s="9" t="s">
        <v>1329</v>
      </c>
      <c r="I323" s="9" t="s">
        <v>1330</v>
      </c>
      <c r="J323" s="9" t="s">
        <v>100</v>
      </c>
      <c r="K323" s="12" t="s">
        <v>19</v>
      </c>
      <c r="L323" s="13" t="s">
        <v>20</v>
      </c>
      <c r="M323" s="12" t="s">
        <v>2604</v>
      </c>
      <c r="N323" s="12" t="s">
        <v>2605</v>
      </c>
      <c r="O323" s="12" t="s">
        <v>2616</v>
      </c>
      <c r="P323" s="14" t="s">
        <v>2607</v>
      </c>
      <c r="Q323">
        <v>1</v>
      </c>
      <c r="R323" s="20"/>
    </row>
    <row r="324" spans="1:18" ht="20.100000000000001" customHeight="1">
      <c r="A324" s="7">
        <v>319</v>
      </c>
      <c r="B324" s="8">
        <v>3204362011</v>
      </c>
      <c r="C324" s="9" t="s">
        <v>97</v>
      </c>
      <c r="D324" s="10" t="s">
        <v>22</v>
      </c>
      <c r="E324" s="11" t="s">
        <v>1364</v>
      </c>
      <c r="F324" s="11" t="s">
        <v>1365</v>
      </c>
      <c r="G324" s="9" t="s">
        <v>1366</v>
      </c>
      <c r="H324" s="9" t="s">
        <v>1329</v>
      </c>
      <c r="I324" s="9" t="s">
        <v>1330</v>
      </c>
      <c r="J324" s="9" t="s">
        <v>100</v>
      </c>
      <c r="K324" s="12" t="s">
        <v>19</v>
      </c>
      <c r="L324" s="13" t="s">
        <v>20</v>
      </c>
      <c r="M324" s="12" t="s">
        <v>2604</v>
      </c>
      <c r="N324" s="12" t="s">
        <v>2605</v>
      </c>
      <c r="O324" s="12" t="s">
        <v>2625</v>
      </c>
      <c r="P324" s="14" t="s">
        <v>2610</v>
      </c>
      <c r="Q324">
        <v>1</v>
      </c>
      <c r="R324" s="20"/>
    </row>
    <row r="325" spans="1:18" ht="20.100000000000001" customHeight="1">
      <c r="A325" s="7">
        <v>320</v>
      </c>
      <c r="B325" s="8">
        <v>3204362011</v>
      </c>
      <c r="C325" s="9" t="s">
        <v>1367</v>
      </c>
      <c r="D325" s="10" t="s">
        <v>22</v>
      </c>
      <c r="E325" s="11" t="s">
        <v>1368</v>
      </c>
      <c r="F325" s="11" t="s">
        <v>1369</v>
      </c>
      <c r="G325" s="9" t="s">
        <v>1370</v>
      </c>
      <c r="H325" s="9" t="s">
        <v>1329</v>
      </c>
      <c r="I325" s="9" t="s">
        <v>1330</v>
      </c>
      <c r="J325" s="9" t="s">
        <v>100</v>
      </c>
      <c r="K325" s="12" t="s">
        <v>19</v>
      </c>
      <c r="L325" s="13" t="s">
        <v>20</v>
      </c>
      <c r="M325" s="12" t="s">
        <v>2604</v>
      </c>
      <c r="N325" s="12" t="s">
        <v>2605</v>
      </c>
      <c r="O325" s="12" t="s">
        <v>2609</v>
      </c>
      <c r="P325" s="14" t="s">
        <v>2610</v>
      </c>
      <c r="Q325">
        <v>1</v>
      </c>
      <c r="R325" s="20"/>
    </row>
    <row r="326" spans="1:18" ht="20.100000000000001" customHeight="1">
      <c r="A326" s="7">
        <v>321</v>
      </c>
      <c r="B326" s="8">
        <v>3204362011</v>
      </c>
      <c r="C326" s="9" t="s">
        <v>1371</v>
      </c>
      <c r="D326" s="10" t="s">
        <v>22</v>
      </c>
      <c r="E326" s="11" t="s">
        <v>1372</v>
      </c>
      <c r="F326" s="11" t="s">
        <v>1373</v>
      </c>
      <c r="G326" s="9" t="s">
        <v>1374</v>
      </c>
      <c r="H326" s="9" t="s">
        <v>1329</v>
      </c>
      <c r="I326" s="9" t="s">
        <v>1330</v>
      </c>
      <c r="J326" s="9" t="s">
        <v>100</v>
      </c>
      <c r="K326" s="12" t="s">
        <v>19</v>
      </c>
      <c r="L326" s="13" t="s">
        <v>20</v>
      </c>
      <c r="M326" s="12" t="s">
        <v>2604</v>
      </c>
      <c r="N326" s="12" t="s">
        <v>2605</v>
      </c>
      <c r="O326" s="12" t="s">
        <v>2622</v>
      </c>
      <c r="P326" s="14" t="s">
        <v>2607</v>
      </c>
      <c r="Q326">
        <v>1</v>
      </c>
      <c r="R326" s="20"/>
    </row>
    <row r="327" spans="1:18" ht="20.100000000000001" customHeight="1">
      <c r="A327" s="7">
        <v>322</v>
      </c>
      <c r="B327" s="8">
        <v>3204362006</v>
      </c>
      <c r="C327" s="9" t="s">
        <v>174</v>
      </c>
      <c r="D327" s="10" t="s">
        <v>22</v>
      </c>
      <c r="E327" s="11" t="s">
        <v>1375</v>
      </c>
      <c r="F327" s="11" t="s">
        <v>1376</v>
      </c>
      <c r="G327" s="9" t="s">
        <v>1377</v>
      </c>
      <c r="H327" s="9" t="s">
        <v>1378</v>
      </c>
      <c r="I327" s="9" t="s">
        <v>1330</v>
      </c>
      <c r="J327" s="9" t="s">
        <v>100</v>
      </c>
      <c r="K327" s="12" t="s">
        <v>19</v>
      </c>
      <c r="L327" s="13" t="s">
        <v>20</v>
      </c>
      <c r="M327" s="12" t="s">
        <v>2604</v>
      </c>
      <c r="N327" s="12" t="s">
        <v>2605</v>
      </c>
      <c r="O327" s="12" t="s">
        <v>2612</v>
      </c>
      <c r="P327" s="14" t="s">
        <v>2613</v>
      </c>
      <c r="Q327">
        <v>1</v>
      </c>
      <c r="R327" s="20">
        <f>SUM(Q327:Q341)</f>
        <v>15</v>
      </c>
    </row>
    <row r="328" spans="1:18" ht="20.100000000000001" customHeight="1">
      <c r="A328" s="7">
        <v>323</v>
      </c>
      <c r="B328" s="8">
        <v>3204362006</v>
      </c>
      <c r="C328" s="9" t="s">
        <v>1379</v>
      </c>
      <c r="D328" s="10" t="s">
        <v>22</v>
      </c>
      <c r="E328" s="11" t="s">
        <v>1380</v>
      </c>
      <c r="F328" s="11" t="s">
        <v>1381</v>
      </c>
      <c r="G328" s="9" t="s">
        <v>1382</v>
      </c>
      <c r="H328" s="9" t="s">
        <v>1378</v>
      </c>
      <c r="I328" s="9" t="s">
        <v>1330</v>
      </c>
      <c r="J328" s="9" t="s">
        <v>100</v>
      </c>
      <c r="K328" s="12" t="s">
        <v>19</v>
      </c>
      <c r="L328" s="13" t="s">
        <v>20</v>
      </c>
      <c r="M328" s="12" t="s">
        <v>2604</v>
      </c>
      <c r="N328" s="12" t="s">
        <v>2605</v>
      </c>
      <c r="O328" s="12" t="s">
        <v>2611</v>
      </c>
      <c r="P328" s="14" t="s">
        <v>2607</v>
      </c>
      <c r="Q328">
        <v>1</v>
      </c>
      <c r="R328" s="20"/>
    </row>
    <row r="329" spans="1:18" ht="20.100000000000001" customHeight="1">
      <c r="A329" s="7">
        <v>324</v>
      </c>
      <c r="B329" s="8">
        <v>3204362006</v>
      </c>
      <c r="C329" s="9" t="s">
        <v>110</v>
      </c>
      <c r="D329" s="10" t="s">
        <v>18</v>
      </c>
      <c r="E329" s="11" t="s">
        <v>1383</v>
      </c>
      <c r="F329" s="11" t="s">
        <v>1384</v>
      </c>
      <c r="G329" s="9" t="s">
        <v>1385</v>
      </c>
      <c r="H329" s="9" t="s">
        <v>1378</v>
      </c>
      <c r="I329" s="9" t="s">
        <v>1330</v>
      </c>
      <c r="J329" s="9" t="s">
        <v>100</v>
      </c>
      <c r="K329" s="12" t="s">
        <v>19</v>
      </c>
      <c r="L329" s="13" t="s">
        <v>20</v>
      </c>
      <c r="M329" s="12" t="s">
        <v>2604</v>
      </c>
      <c r="N329" s="12" t="s">
        <v>2605</v>
      </c>
      <c r="O329" s="12" t="s">
        <v>2606</v>
      </c>
      <c r="P329" s="14" t="s">
        <v>2607</v>
      </c>
      <c r="Q329">
        <v>1</v>
      </c>
      <c r="R329" s="20"/>
    </row>
    <row r="330" spans="1:18" ht="20.100000000000001" customHeight="1">
      <c r="A330" s="7">
        <v>325</v>
      </c>
      <c r="B330" s="8">
        <v>3204362006</v>
      </c>
      <c r="C330" s="9" t="s">
        <v>43</v>
      </c>
      <c r="D330" s="10" t="s">
        <v>18</v>
      </c>
      <c r="E330" s="11" t="s">
        <v>1386</v>
      </c>
      <c r="F330" s="11" t="s">
        <v>1387</v>
      </c>
      <c r="G330" s="9" t="s">
        <v>1388</v>
      </c>
      <c r="H330" s="9" t="s">
        <v>1378</v>
      </c>
      <c r="I330" s="9" t="s">
        <v>1330</v>
      </c>
      <c r="J330" s="9" t="s">
        <v>100</v>
      </c>
      <c r="K330" s="12" t="s">
        <v>19</v>
      </c>
      <c r="L330" s="13" t="s">
        <v>20</v>
      </c>
      <c r="M330" s="12" t="s">
        <v>2604</v>
      </c>
      <c r="N330" s="12" t="s">
        <v>2605</v>
      </c>
      <c r="O330" s="12" t="s">
        <v>2606</v>
      </c>
      <c r="P330" s="14" t="s">
        <v>2607</v>
      </c>
      <c r="Q330">
        <v>1</v>
      </c>
      <c r="R330" s="20"/>
    </row>
    <row r="331" spans="1:18" ht="20.100000000000001" customHeight="1">
      <c r="A331" s="7">
        <v>326</v>
      </c>
      <c r="B331" s="8">
        <v>3204362006</v>
      </c>
      <c r="C331" s="9" t="s">
        <v>32</v>
      </c>
      <c r="D331" s="10" t="s">
        <v>22</v>
      </c>
      <c r="E331" s="11" t="s">
        <v>1389</v>
      </c>
      <c r="F331" s="11" t="s">
        <v>1390</v>
      </c>
      <c r="G331" s="9" t="s">
        <v>1391</v>
      </c>
      <c r="H331" s="9" t="s">
        <v>1378</v>
      </c>
      <c r="I331" s="9" t="s">
        <v>1330</v>
      </c>
      <c r="J331" s="9" t="s">
        <v>100</v>
      </c>
      <c r="K331" s="12" t="s">
        <v>19</v>
      </c>
      <c r="L331" s="13" t="s">
        <v>20</v>
      </c>
      <c r="M331" s="12" t="s">
        <v>2604</v>
      </c>
      <c r="N331" s="12" t="s">
        <v>2605</v>
      </c>
      <c r="O331" s="12" t="s">
        <v>2606</v>
      </c>
      <c r="P331" s="14" t="s">
        <v>2607</v>
      </c>
      <c r="Q331">
        <v>1</v>
      </c>
      <c r="R331" s="20"/>
    </row>
    <row r="332" spans="1:18" ht="20.100000000000001" customHeight="1">
      <c r="A332" s="7">
        <v>327</v>
      </c>
      <c r="B332" s="8">
        <v>3204362006</v>
      </c>
      <c r="C332" s="9" t="s">
        <v>1392</v>
      </c>
      <c r="D332" s="10" t="s">
        <v>22</v>
      </c>
      <c r="E332" s="11" t="s">
        <v>1393</v>
      </c>
      <c r="F332" s="11" t="s">
        <v>1394</v>
      </c>
      <c r="G332" s="9" t="s">
        <v>1395</v>
      </c>
      <c r="H332" s="9" t="s">
        <v>1378</v>
      </c>
      <c r="I332" s="9" t="s">
        <v>1330</v>
      </c>
      <c r="J332" s="9" t="s">
        <v>100</v>
      </c>
      <c r="K332" s="12" t="s">
        <v>19</v>
      </c>
      <c r="L332" s="13" t="s">
        <v>20</v>
      </c>
      <c r="M332" s="12" t="s">
        <v>2604</v>
      </c>
      <c r="N332" s="12" t="s">
        <v>2605</v>
      </c>
      <c r="O332" s="12" t="s">
        <v>2611</v>
      </c>
      <c r="P332" s="14" t="s">
        <v>2607</v>
      </c>
      <c r="Q332">
        <v>1</v>
      </c>
      <c r="R332" s="20"/>
    </row>
    <row r="333" spans="1:18" ht="20.100000000000001" customHeight="1">
      <c r="A333" s="7">
        <v>328</v>
      </c>
      <c r="B333" s="8">
        <v>3204362006</v>
      </c>
      <c r="C333" s="9" t="s">
        <v>214</v>
      </c>
      <c r="D333" s="10" t="s">
        <v>22</v>
      </c>
      <c r="E333" s="11" t="s">
        <v>1396</v>
      </c>
      <c r="F333" s="11" t="s">
        <v>1397</v>
      </c>
      <c r="G333" s="9" t="s">
        <v>1395</v>
      </c>
      <c r="H333" s="9" t="s">
        <v>1378</v>
      </c>
      <c r="I333" s="9" t="s">
        <v>1330</v>
      </c>
      <c r="J333" s="9" t="s">
        <v>100</v>
      </c>
      <c r="K333" s="12" t="s">
        <v>19</v>
      </c>
      <c r="L333" s="13" t="s">
        <v>20</v>
      </c>
      <c r="M333" s="12" t="s">
        <v>2604</v>
      </c>
      <c r="N333" s="12" t="s">
        <v>2605</v>
      </c>
      <c r="O333" s="12" t="s">
        <v>2611</v>
      </c>
      <c r="P333" s="14" t="s">
        <v>2607</v>
      </c>
      <c r="Q333">
        <v>1</v>
      </c>
      <c r="R333" s="20"/>
    </row>
    <row r="334" spans="1:18" ht="20.100000000000001" customHeight="1">
      <c r="A334" s="7">
        <v>329</v>
      </c>
      <c r="B334" s="8">
        <v>3204362006</v>
      </c>
      <c r="C334" s="9" t="s">
        <v>1398</v>
      </c>
      <c r="D334" s="10" t="s">
        <v>22</v>
      </c>
      <c r="E334" s="11" t="s">
        <v>1399</v>
      </c>
      <c r="F334" s="11" t="s">
        <v>1400</v>
      </c>
      <c r="G334" s="9" t="s">
        <v>1401</v>
      </c>
      <c r="H334" s="9" t="s">
        <v>1378</v>
      </c>
      <c r="I334" s="9" t="s">
        <v>1330</v>
      </c>
      <c r="J334" s="9" t="s">
        <v>100</v>
      </c>
      <c r="K334" s="12" t="s">
        <v>19</v>
      </c>
      <c r="L334" s="13" t="s">
        <v>20</v>
      </c>
      <c r="M334" s="12" t="s">
        <v>2604</v>
      </c>
      <c r="N334" s="12" t="s">
        <v>2605</v>
      </c>
      <c r="O334" s="12" t="s">
        <v>2608</v>
      </c>
      <c r="P334" s="14" t="s">
        <v>2607</v>
      </c>
      <c r="Q334">
        <v>1</v>
      </c>
      <c r="R334" s="20"/>
    </row>
    <row r="335" spans="1:18" ht="20.100000000000001" customHeight="1">
      <c r="A335" s="7">
        <v>330</v>
      </c>
      <c r="B335" s="8">
        <v>3204362006</v>
      </c>
      <c r="C335" s="9" t="s">
        <v>1402</v>
      </c>
      <c r="D335" s="10" t="s">
        <v>18</v>
      </c>
      <c r="E335" s="11" t="s">
        <v>1403</v>
      </c>
      <c r="F335" s="11" t="s">
        <v>1404</v>
      </c>
      <c r="G335" s="9" t="s">
        <v>1401</v>
      </c>
      <c r="H335" s="9" t="s">
        <v>1378</v>
      </c>
      <c r="I335" s="9" t="s">
        <v>1330</v>
      </c>
      <c r="J335" s="9" t="s">
        <v>100</v>
      </c>
      <c r="K335" s="12" t="s">
        <v>19</v>
      </c>
      <c r="L335" s="13" t="s">
        <v>20</v>
      </c>
      <c r="M335" s="12" t="s">
        <v>2604</v>
      </c>
      <c r="N335" s="12" t="s">
        <v>2605</v>
      </c>
      <c r="O335" s="12" t="s">
        <v>2624</v>
      </c>
      <c r="P335" s="14" t="s">
        <v>2615</v>
      </c>
      <c r="Q335">
        <v>1</v>
      </c>
      <c r="R335" s="20"/>
    </row>
    <row r="336" spans="1:18" ht="20.100000000000001" customHeight="1">
      <c r="A336" s="7">
        <v>331</v>
      </c>
      <c r="B336" s="8">
        <v>3204362006</v>
      </c>
      <c r="C336" s="9" t="s">
        <v>1405</v>
      </c>
      <c r="D336" s="10" t="s">
        <v>18</v>
      </c>
      <c r="E336" s="11" t="s">
        <v>1406</v>
      </c>
      <c r="F336" s="11" t="s">
        <v>1407</v>
      </c>
      <c r="G336" s="9" t="s">
        <v>1408</v>
      </c>
      <c r="H336" s="9" t="s">
        <v>1378</v>
      </c>
      <c r="I336" s="9" t="s">
        <v>1330</v>
      </c>
      <c r="J336" s="9" t="s">
        <v>100</v>
      </c>
      <c r="K336" s="12" t="s">
        <v>19</v>
      </c>
      <c r="L336" s="13" t="s">
        <v>20</v>
      </c>
      <c r="M336" s="12" t="s">
        <v>2604</v>
      </c>
      <c r="N336" s="12" t="s">
        <v>2605</v>
      </c>
      <c r="O336" s="12" t="s">
        <v>2606</v>
      </c>
      <c r="P336" s="14" t="s">
        <v>2607</v>
      </c>
      <c r="Q336">
        <v>1</v>
      </c>
      <c r="R336" s="20"/>
    </row>
    <row r="337" spans="1:18" ht="20.100000000000001" customHeight="1">
      <c r="A337" s="7">
        <v>332</v>
      </c>
      <c r="B337" s="8">
        <v>3204362006</v>
      </c>
      <c r="C337" s="9" t="s">
        <v>1409</v>
      </c>
      <c r="D337" s="10" t="s">
        <v>22</v>
      </c>
      <c r="E337" s="11" t="s">
        <v>1410</v>
      </c>
      <c r="F337" s="11" t="s">
        <v>1411</v>
      </c>
      <c r="G337" s="9" t="s">
        <v>1412</v>
      </c>
      <c r="H337" s="9" t="s">
        <v>1378</v>
      </c>
      <c r="I337" s="9" t="s">
        <v>1330</v>
      </c>
      <c r="J337" s="9" t="s">
        <v>100</v>
      </c>
      <c r="K337" s="12" t="s">
        <v>19</v>
      </c>
      <c r="L337" s="13" t="s">
        <v>20</v>
      </c>
      <c r="M337" s="12" t="s">
        <v>2604</v>
      </c>
      <c r="N337" s="12" t="s">
        <v>2605</v>
      </c>
      <c r="O337" s="12" t="s">
        <v>2622</v>
      </c>
      <c r="P337" s="14" t="s">
        <v>2607</v>
      </c>
      <c r="Q337">
        <v>1</v>
      </c>
      <c r="R337" s="20"/>
    </row>
    <row r="338" spans="1:18" ht="20.100000000000001" customHeight="1">
      <c r="A338" s="7">
        <v>333</v>
      </c>
      <c r="B338" s="8">
        <v>3204362006</v>
      </c>
      <c r="C338" s="9" t="s">
        <v>1413</v>
      </c>
      <c r="D338" s="10" t="s">
        <v>22</v>
      </c>
      <c r="E338" s="11" t="s">
        <v>1414</v>
      </c>
      <c r="F338" s="11" t="s">
        <v>1415</v>
      </c>
      <c r="G338" s="9" t="s">
        <v>1416</v>
      </c>
      <c r="H338" s="9" t="s">
        <v>1378</v>
      </c>
      <c r="I338" s="9" t="s">
        <v>1330</v>
      </c>
      <c r="J338" s="9" t="s">
        <v>100</v>
      </c>
      <c r="K338" s="12" t="s">
        <v>19</v>
      </c>
      <c r="L338" s="13" t="s">
        <v>20</v>
      </c>
      <c r="M338" s="12" t="s">
        <v>2604</v>
      </c>
      <c r="N338" s="12" t="s">
        <v>2605</v>
      </c>
      <c r="O338" s="12" t="s">
        <v>2619</v>
      </c>
      <c r="P338" s="14" t="s">
        <v>2610</v>
      </c>
      <c r="Q338">
        <v>1</v>
      </c>
      <c r="R338" s="20"/>
    </row>
    <row r="339" spans="1:18" ht="20.100000000000001" customHeight="1">
      <c r="A339" s="7">
        <v>334</v>
      </c>
      <c r="B339" s="8">
        <v>3204362006</v>
      </c>
      <c r="C339" s="9" t="s">
        <v>1417</v>
      </c>
      <c r="D339" s="10" t="s">
        <v>22</v>
      </c>
      <c r="E339" s="11" t="s">
        <v>1418</v>
      </c>
      <c r="F339" s="11" t="s">
        <v>1419</v>
      </c>
      <c r="G339" s="9" t="s">
        <v>1416</v>
      </c>
      <c r="H339" s="9" t="s">
        <v>1378</v>
      </c>
      <c r="I339" s="9" t="s">
        <v>1330</v>
      </c>
      <c r="J339" s="9" t="s">
        <v>100</v>
      </c>
      <c r="K339" s="12" t="s">
        <v>19</v>
      </c>
      <c r="L339" s="13" t="s">
        <v>20</v>
      </c>
      <c r="M339" s="12" t="s">
        <v>2604</v>
      </c>
      <c r="N339" s="12" t="s">
        <v>2605</v>
      </c>
      <c r="O339" s="12" t="s">
        <v>2606</v>
      </c>
      <c r="P339" s="14" t="s">
        <v>2607</v>
      </c>
      <c r="Q339">
        <v>1</v>
      </c>
      <c r="R339" s="20"/>
    </row>
    <row r="340" spans="1:18" ht="20.100000000000001" customHeight="1">
      <c r="A340" s="7">
        <v>335</v>
      </c>
      <c r="B340" s="8">
        <v>3204362006</v>
      </c>
      <c r="C340" s="9" t="s">
        <v>1420</v>
      </c>
      <c r="D340" s="10" t="s">
        <v>22</v>
      </c>
      <c r="E340" s="11" t="s">
        <v>1421</v>
      </c>
      <c r="F340" s="11" t="s">
        <v>1422</v>
      </c>
      <c r="G340" s="9" t="s">
        <v>1423</v>
      </c>
      <c r="H340" s="9" t="s">
        <v>1378</v>
      </c>
      <c r="I340" s="9" t="s">
        <v>1330</v>
      </c>
      <c r="J340" s="9" t="s">
        <v>100</v>
      </c>
      <c r="K340" s="12" t="s">
        <v>19</v>
      </c>
      <c r="L340" s="13" t="s">
        <v>20</v>
      </c>
      <c r="M340" s="12" t="s">
        <v>2604</v>
      </c>
      <c r="N340" s="12" t="s">
        <v>2605</v>
      </c>
      <c r="O340" s="12" t="s">
        <v>195</v>
      </c>
      <c r="P340" s="14" t="s">
        <v>2621</v>
      </c>
      <c r="Q340">
        <v>1</v>
      </c>
      <c r="R340" s="20"/>
    </row>
    <row r="341" spans="1:18" ht="20.100000000000001" customHeight="1">
      <c r="A341" s="7">
        <v>336</v>
      </c>
      <c r="B341" s="8">
        <v>3204362006</v>
      </c>
      <c r="C341" s="9" t="s">
        <v>1424</v>
      </c>
      <c r="D341" s="10" t="s">
        <v>18</v>
      </c>
      <c r="E341" s="11" t="s">
        <v>1425</v>
      </c>
      <c r="F341" s="11" t="s">
        <v>1426</v>
      </c>
      <c r="G341" s="9" t="s">
        <v>1416</v>
      </c>
      <c r="H341" s="9" t="s">
        <v>1378</v>
      </c>
      <c r="I341" s="9" t="s">
        <v>1330</v>
      </c>
      <c r="J341" s="9" t="s">
        <v>100</v>
      </c>
      <c r="K341" s="12" t="s">
        <v>19</v>
      </c>
      <c r="L341" s="13" t="s">
        <v>20</v>
      </c>
      <c r="M341" s="12" t="s">
        <v>2604</v>
      </c>
      <c r="N341" s="12" t="s">
        <v>2605</v>
      </c>
      <c r="O341" s="12" t="s">
        <v>2608</v>
      </c>
      <c r="P341" s="14" t="s">
        <v>2607</v>
      </c>
      <c r="Q341">
        <v>1</v>
      </c>
      <c r="R341" s="20"/>
    </row>
    <row r="342" spans="1:18" ht="20.100000000000001" customHeight="1">
      <c r="A342" s="7">
        <v>337</v>
      </c>
      <c r="B342" s="8">
        <v>3204312007</v>
      </c>
      <c r="C342" s="9" t="s">
        <v>1427</v>
      </c>
      <c r="D342" s="10" t="s">
        <v>22</v>
      </c>
      <c r="E342" s="11" t="s">
        <v>1428</v>
      </c>
      <c r="F342" s="11" t="s">
        <v>1429</v>
      </c>
      <c r="G342" s="9" t="s">
        <v>1430</v>
      </c>
      <c r="H342" s="9" t="s">
        <v>1431</v>
      </c>
      <c r="I342" s="9" t="s">
        <v>1432</v>
      </c>
      <c r="J342" s="9" t="s">
        <v>100</v>
      </c>
      <c r="K342" s="12" t="s">
        <v>19</v>
      </c>
      <c r="L342" s="13" t="s">
        <v>20</v>
      </c>
      <c r="M342" s="12" t="s">
        <v>2604</v>
      </c>
      <c r="N342" s="12" t="s">
        <v>2605</v>
      </c>
      <c r="O342" s="12" t="s">
        <v>2606</v>
      </c>
      <c r="P342" s="14" t="s">
        <v>2607</v>
      </c>
      <c r="Q342">
        <v>1</v>
      </c>
      <c r="R342" s="20">
        <f>SUM(Q342:Q353)</f>
        <v>12</v>
      </c>
    </row>
    <row r="343" spans="1:18" ht="20.100000000000001" customHeight="1">
      <c r="A343" s="7">
        <v>338</v>
      </c>
      <c r="B343" s="8">
        <v>3204312007</v>
      </c>
      <c r="C343" s="9" t="s">
        <v>83</v>
      </c>
      <c r="D343" s="10" t="s">
        <v>22</v>
      </c>
      <c r="E343" s="11" t="s">
        <v>1433</v>
      </c>
      <c r="F343" s="11" t="s">
        <v>1434</v>
      </c>
      <c r="G343" s="9" t="s">
        <v>1435</v>
      </c>
      <c r="H343" s="9" t="s">
        <v>1431</v>
      </c>
      <c r="I343" s="9" t="s">
        <v>1432</v>
      </c>
      <c r="J343" s="9" t="s">
        <v>100</v>
      </c>
      <c r="K343" s="12" t="s">
        <v>19</v>
      </c>
      <c r="L343" s="13" t="s">
        <v>20</v>
      </c>
      <c r="M343" s="12" t="s">
        <v>2604</v>
      </c>
      <c r="N343" s="12" t="s">
        <v>2605</v>
      </c>
      <c r="O343" s="12" t="s">
        <v>2609</v>
      </c>
      <c r="P343" s="14" t="s">
        <v>2610</v>
      </c>
      <c r="Q343">
        <v>1</v>
      </c>
      <c r="R343" s="20"/>
    </row>
    <row r="344" spans="1:18" ht="20.100000000000001" customHeight="1">
      <c r="A344" s="7">
        <v>339</v>
      </c>
      <c r="B344" s="8">
        <v>3204312007</v>
      </c>
      <c r="C344" s="9" t="s">
        <v>1436</v>
      </c>
      <c r="D344" s="10" t="s">
        <v>18</v>
      </c>
      <c r="E344" s="11" t="s">
        <v>1437</v>
      </c>
      <c r="F344" s="11" t="s">
        <v>1438</v>
      </c>
      <c r="G344" s="9" t="s">
        <v>1435</v>
      </c>
      <c r="H344" s="9" t="s">
        <v>1431</v>
      </c>
      <c r="I344" s="9" t="s">
        <v>1432</v>
      </c>
      <c r="J344" s="9" t="s">
        <v>100</v>
      </c>
      <c r="K344" s="12" t="s">
        <v>19</v>
      </c>
      <c r="L344" s="13" t="s">
        <v>20</v>
      </c>
      <c r="M344" s="12" t="s">
        <v>2604</v>
      </c>
      <c r="N344" s="12" t="s">
        <v>2605</v>
      </c>
      <c r="O344" s="12" t="s">
        <v>2616</v>
      </c>
      <c r="P344" s="14" t="s">
        <v>2607</v>
      </c>
      <c r="Q344">
        <v>1</v>
      </c>
      <c r="R344" s="20"/>
    </row>
    <row r="345" spans="1:18" ht="20.100000000000001" customHeight="1">
      <c r="A345" s="7">
        <v>340</v>
      </c>
      <c r="B345" s="8">
        <v>3204312007</v>
      </c>
      <c r="C345" s="9" t="s">
        <v>1439</v>
      </c>
      <c r="D345" s="10" t="s">
        <v>18</v>
      </c>
      <c r="E345" s="11" t="s">
        <v>1440</v>
      </c>
      <c r="F345" s="11" t="s">
        <v>1441</v>
      </c>
      <c r="G345" s="9" t="s">
        <v>1435</v>
      </c>
      <c r="H345" s="9" t="s">
        <v>1431</v>
      </c>
      <c r="I345" s="9" t="s">
        <v>1432</v>
      </c>
      <c r="J345" s="9" t="s">
        <v>100</v>
      </c>
      <c r="K345" s="12" t="s">
        <v>19</v>
      </c>
      <c r="L345" s="13" t="s">
        <v>20</v>
      </c>
      <c r="M345" s="12" t="s">
        <v>2604</v>
      </c>
      <c r="N345" s="12" t="s">
        <v>2605</v>
      </c>
      <c r="O345" s="12" t="s">
        <v>2608</v>
      </c>
      <c r="P345" s="14" t="s">
        <v>2607</v>
      </c>
      <c r="Q345">
        <v>1</v>
      </c>
      <c r="R345" s="20"/>
    </row>
    <row r="346" spans="1:18" ht="20.100000000000001" customHeight="1">
      <c r="A346" s="7">
        <v>341</v>
      </c>
      <c r="B346" s="8">
        <v>3204312007</v>
      </c>
      <c r="C346" s="9" t="s">
        <v>1442</v>
      </c>
      <c r="D346" s="10" t="s">
        <v>18</v>
      </c>
      <c r="E346" s="11" t="s">
        <v>1443</v>
      </c>
      <c r="F346" s="11" t="s">
        <v>1444</v>
      </c>
      <c r="G346" s="9" t="s">
        <v>1435</v>
      </c>
      <c r="H346" s="9" t="s">
        <v>1431</v>
      </c>
      <c r="I346" s="9" t="s">
        <v>1432</v>
      </c>
      <c r="J346" s="9" t="s">
        <v>100</v>
      </c>
      <c r="K346" s="12" t="s">
        <v>19</v>
      </c>
      <c r="L346" s="13" t="s">
        <v>20</v>
      </c>
      <c r="M346" s="12" t="s">
        <v>2604</v>
      </c>
      <c r="N346" s="12" t="s">
        <v>2605</v>
      </c>
      <c r="O346" s="12" t="s">
        <v>2611</v>
      </c>
      <c r="P346" s="14" t="s">
        <v>2607</v>
      </c>
      <c r="Q346">
        <v>1</v>
      </c>
      <c r="R346" s="20"/>
    </row>
    <row r="347" spans="1:18" ht="20.100000000000001" customHeight="1">
      <c r="A347" s="7">
        <v>342</v>
      </c>
      <c r="B347" s="8">
        <v>3204312007</v>
      </c>
      <c r="C347" s="9" t="s">
        <v>1445</v>
      </c>
      <c r="D347" s="10" t="s">
        <v>22</v>
      </c>
      <c r="E347" s="11" t="s">
        <v>1446</v>
      </c>
      <c r="F347" s="11" t="s">
        <v>1447</v>
      </c>
      <c r="G347" s="9" t="s">
        <v>1448</v>
      </c>
      <c r="H347" s="9" t="s">
        <v>1431</v>
      </c>
      <c r="I347" s="9" t="s">
        <v>1432</v>
      </c>
      <c r="J347" s="9" t="s">
        <v>100</v>
      </c>
      <c r="K347" s="12" t="s">
        <v>19</v>
      </c>
      <c r="L347" s="13" t="s">
        <v>20</v>
      </c>
      <c r="M347" s="12" t="s">
        <v>2604</v>
      </c>
      <c r="N347" s="12" t="s">
        <v>2605</v>
      </c>
      <c r="O347" s="12" t="s">
        <v>2620</v>
      </c>
      <c r="P347" s="14" t="s">
        <v>2615</v>
      </c>
      <c r="Q347">
        <v>1</v>
      </c>
      <c r="R347" s="20"/>
    </row>
    <row r="348" spans="1:18" ht="20.100000000000001" customHeight="1">
      <c r="A348" s="7">
        <v>343</v>
      </c>
      <c r="B348" s="8">
        <v>3204312007</v>
      </c>
      <c r="C348" s="9" t="s">
        <v>89</v>
      </c>
      <c r="D348" s="10" t="s">
        <v>18</v>
      </c>
      <c r="E348" s="11" t="s">
        <v>1449</v>
      </c>
      <c r="F348" s="11" t="s">
        <v>1450</v>
      </c>
      <c r="G348" s="9" t="s">
        <v>1451</v>
      </c>
      <c r="H348" s="9" t="s">
        <v>1431</v>
      </c>
      <c r="I348" s="9" t="s">
        <v>1432</v>
      </c>
      <c r="J348" s="9" t="s">
        <v>100</v>
      </c>
      <c r="K348" s="12" t="s">
        <v>19</v>
      </c>
      <c r="L348" s="13" t="s">
        <v>20</v>
      </c>
      <c r="M348" s="12" t="s">
        <v>2604</v>
      </c>
      <c r="N348" s="12" t="s">
        <v>2605</v>
      </c>
      <c r="O348" s="12" t="s">
        <v>2611</v>
      </c>
      <c r="P348" s="14" t="s">
        <v>2607</v>
      </c>
      <c r="Q348">
        <v>1</v>
      </c>
      <c r="R348" s="20"/>
    </row>
    <row r="349" spans="1:18" ht="20.100000000000001" customHeight="1">
      <c r="A349" s="7">
        <v>344</v>
      </c>
      <c r="B349" s="8">
        <v>3204312007</v>
      </c>
      <c r="C349" s="9" t="s">
        <v>1452</v>
      </c>
      <c r="D349" s="10" t="s">
        <v>22</v>
      </c>
      <c r="E349" s="11" t="s">
        <v>1453</v>
      </c>
      <c r="F349" s="11" t="s">
        <v>1454</v>
      </c>
      <c r="G349" s="9" t="s">
        <v>1451</v>
      </c>
      <c r="H349" s="9" t="s">
        <v>1431</v>
      </c>
      <c r="I349" s="9" t="s">
        <v>1432</v>
      </c>
      <c r="J349" s="9" t="s">
        <v>100</v>
      </c>
      <c r="K349" s="12" t="s">
        <v>19</v>
      </c>
      <c r="L349" s="13" t="s">
        <v>20</v>
      </c>
      <c r="M349" s="12" t="s">
        <v>2604</v>
      </c>
      <c r="N349" s="12" t="s">
        <v>2605</v>
      </c>
      <c r="O349" s="12" t="s">
        <v>2616</v>
      </c>
      <c r="P349" s="14" t="s">
        <v>2607</v>
      </c>
      <c r="Q349">
        <v>1</v>
      </c>
      <c r="R349" s="20"/>
    </row>
    <row r="350" spans="1:18" ht="20.100000000000001" customHeight="1">
      <c r="A350" s="7">
        <v>345</v>
      </c>
      <c r="B350" s="8">
        <v>3204312007</v>
      </c>
      <c r="C350" s="9" t="s">
        <v>1455</v>
      </c>
      <c r="D350" s="10" t="s">
        <v>18</v>
      </c>
      <c r="E350" s="11" t="s">
        <v>1456</v>
      </c>
      <c r="F350" s="11" t="s">
        <v>1457</v>
      </c>
      <c r="G350" s="9" t="s">
        <v>1448</v>
      </c>
      <c r="H350" s="9" t="s">
        <v>1431</v>
      </c>
      <c r="I350" s="9" t="s">
        <v>1432</v>
      </c>
      <c r="J350" s="9" t="s">
        <v>100</v>
      </c>
      <c r="K350" s="12" t="s">
        <v>19</v>
      </c>
      <c r="L350" s="13" t="s">
        <v>20</v>
      </c>
      <c r="M350" s="12" t="s">
        <v>2604</v>
      </c>
      <c r="N350" s="12" t="s">
        <v>2605</v>
      </c>
      <c r="O350" s="12" t="s">
        <v>2611</v>
      </c>
      <c r="P350" s="14" t="s">
        <v>2607</v>
      </c>
      <c r="Q350">
        <v>1</v>
      </c>
      <c r="R350" s="20"/>
    </row>
    <row r="351" spans="1:18" ht="20.100000000000001" customHeight="1">
      <c r="A351" s="7">
        <v>346</v>
      </c>
      <c r="B351" s="8">
        <v>3204312007</v>
      </c>
      <c r="C351" s="9" t="s">
        <v>1458</v>
      </c>
      <c r="D351" s="10" t="s">
        <v>18</v>
      </c>
      <c r="E351" s="11" t="s">
        <v>1459</v>
      </c>
      <c r="F351" s="11" t="s">
        <v>1460</v>
      </c>
      <c r="G351" s="9" t="s">
        <v>1448</v>
      </c>
      <c r="H351" s="9" t="s">
        <v>1431</v>
      </c>
      <c r="I351" s="9" t="s">
        <v>1432</v>
      </c>
      <c r="J351" s="9" t="s">
        <v>100</v>
      </c>
      <c r="K351" s="12" t="s">
        <v>19</v>
      </c>
      <c r="L351" s="13" t="s">
        <v>20</v>
      </c>
      <c r="M351" s="12" t="s">
        <v>2604</v>
      </c>
      <c r="N351" s="12" t="s">
        <v>2605</v>
      </c>
      <c r="O351" s="12" t="s">
        <v>2627</v>
      </c>
      <c r="P351" s="14" t="s">
        <v>2610</v>
      </c>
      <c r="Q351">
        <v>1</v>
      </c>
      <c r="R351" s="20"/>
    </row>
    <row r="352" spans="1:18" ht="20.100000000000001" customHeight="1">
      <c r="A352" s="7">
        <v>347</v>
      </c>
      <c r="B352" s="8">
        <v>3204312007</v>
      </c>
      <c r="C352" s="9" t="s">
        <v>1461</v>
      </c>
      <c r="D352" s="10" t="s">
        <v>18</v>
      </c>
      <c r="E352" s="11" t="s">
        <v>1462</v>
      </c>
      <c r="F352" s="11" t="s">
        <v>1463</v>
      </c>
      <c r="G352" s="9" t="s">
        <v>1430</v>
      </c>
      <c r="H352" s="9" t="s">
        <v>1431</v>
      </c>
      <c r="I352" s="9" t="s">
        <v>1432</v>
      </c>
      <c r="J352" s="9" t="s">
        <v>100</v>
      </c>
      <c r="K352" s="12" t="s">
        <v>19</v>
      </c>
      <c r="L352" s="13" t="s">
        <v>20</v>
      </c>
      <c r="M352" s="12" t="s">
        <v>2604</v>
      </c>
      <c r="N352" s="12" t="s">
        <v>2605</v>
      </c>
      <c r="O352" s="12" t="s">
        <v>2611</v>
      </c>
      <c r="P352" s="14" t="s">
        <v>2607</v>
      </c>
      <c r="Q352">
        <v>1</v>
      </c>
      <c r="R352" s="20"/>
    </row>
    <row r="353" spans="1:18" ht="20.100000000000001" customHeight="1">
      <c r="A353" s="7">
        <v>348</v>
      </c>
      <c r="B353" s="8">
        <v>3204312007</v>
      </c>
      <c r="C353" s="9" t="s">
        <v>1464</v>
      </c>
      <c r="D353" s="10" t="s">
        <v>22</v>
      </c>
      <c r="E353" s="11" t="s">
        <v>1465</v>
      </c>
      <c r="F353" s="11" t="s">
        <v>1466</v>
      </c>
      <c r="G353" s="9" t="s">
        <v>1430</v>
      </c>
      <c r="H353" s="9" t="s">
        <v>1431</v>
      </c>
      <c r="I353" s="9" t="s">
        <v>1432</v>
      </c>
      <c r="J353" s="9" t="s">
        <v>100</v>
      </c>
      <c r="K353" s="12" t="s">
        <v>19</v>
      </c>
      <c r="L353" s="13" t="s">
        <v>20</v>
      </c>
      <c r="M353" s="12" t="s">
        <v>2604</v>
      </c>
      <c r="N353" s="12" t="s">
        <v>2605</v>
      </c>
      <c r="O353" s="12" t="s">
        <v>2606</v>
      </c>
      <c r="P353" s="14" t="s">
        <v>2607</v>
      </c>
      <c r="Q353">
        <v>1</v>
      </c>
      <c r="R353" s="20"/>
    </row>
    <row r="354" spans="1:18" ht="20.100000000000001" customHeight="1">
      <c r="A354" s="7">
        <v>349</v>
      </c>
      <c r="B354" s="8">
        <v>3204312004</v>
      </c>
      <c r="C354" s="9" t="s">
        <v>1467</v>
      </c>
      <c r="D354" s="10" t="s">
        <v>22</v>
      </c>
      <c r="E354" s="11" t="s">
        <v>1468</v>
      </c>
      <c r="F354" s="11" t="s">
        <v>1469</v>
      </c>
      <c r="G354" s="9" t="s">
        <v>1470</v>
      </c>
      <c r="H354" s="9" t="s">
        <v>127</v>
      </c>
      <c r="I354" s="9" t="s">
        <v>1432</v>
      </c>
      <c r="J354" s="9" t="s">
        <v>100</v>
      </c>
      <c r="K354" s="12" t="s">
        <v>19</v>
      </c>
      <c r="L354" s="13" t="s">
        <v>20</v>
      </c>
      <c r="M354" s="12" t="s">
        <v>2604</v>
      </c>
      <c r="N354" s="12" t="s">
        <v>2605</v>
      </c>
      <c r="O354" s="12" t="s">
        <v>2616</v>
      </c>
      <c r="P354" s="14" t="s">
        <v>2607</v>
      </c>
      <c r="Q354">
        <v>1</v>
      </c>
      <c r="R354" s="20">
        <f>SUM(Q354:Q366)</f>
        <v>13</v>
      </c>
    </row>
    <row r="355" spans="1:18" ht="20.100000000000001" customHeight="1">
      <c r="A355" s="7">
        <v>350</v>
      </c>
      <c r="B355" s="8">
        <v>3204312004</v>
      </c>
      <c r="C355" s="9" t="s">
        <v>1471</v>
      </c>
      <c r="D355" s="10" t="s">
        <v>22</v>
      </c>
      <c r="E355" s="11" t="s">
        <v>1472</v>
      </c>
      <c r="F355" s="11" t="s">
        <v>1473</v>
      </c>
      <c r="G355" s="9" t="s">
        <v>1470</v>
      </c>
      <c r="H355" s="9" t="s">
        <v>127</v>
      </c>
      <c r="I355" s="9" t="s">
        <v>1432</v>
      </c>
      <c r="J355" s="9" t="s">
        <v>100</v>
      </c>
      <c r="K355" s="12" t="s">
        <v>19</v>
      </c>
      <c r="L355" s="13" t="s">
        <v>20</v>
      </c>
      <c r="M355" s="12" t="s">
        <v>2604</v>
      </c>
      <c r="N355" s="12" t="s">
        <v>2605</v>
      </c>
      <c r="O355" s="12" t="s">
        <v>2609</v>
      </c>
      <c r="P355" s="14" t="s">
        <v>2610</v>
      </c>
      <c r="Q355">
        <v>1</v>
      </c>
      <c r="R355" s="20"/>
    </row>
    <row r="356" spans="1:18" ht="20.100000000000001" customHeight="1">
      <c r="A356" s="7">
        <v>351</v>
      </c>
      <c r="B356" s="8">
        <v>3204312004</v>
      </c>
      <c r="C356" s="9" t="s">
        <v>1474</v>
      </c>
      <c r="D356" s="10" t="s">
        <v>18</v>
      </c>
      <c r="E356" s="11" t="s">
        <v>1475</v>
      </c>
      <c r="F356" s="11" t="s">
        <v>1476</v>
      </c>
      <c r="G356" s="9" t="s">
        <v>1470</v>
      </c>
      <c r="H356" s="9" t="s">
        <v>127</v>
      </c>
      <c r="I356" s="9" t="s">
        <v>1432</v>
      </c>
      <c r="J356" s="9" t="s">
        <v>100</v>
      </c>
      <c r="K356" s="12" t="s">
        <v>19</v>
      </c>
      <c r="L356" s="13" t="s">
        <v>20</v>
      </c>
      <c r="M356" s="12" t="s">
        <v>2604</v>
      </c>
      <c r="N356" s="12" t="s">
        <v>2605</v>
      </c>
      <c r="O356" s="12" t="s">
        <v>2608</v>
      </c>
      <c r="P356" s="14" t="s">
        <v>2607</v>
      </c>
      <c r="Q356">
        <v>1</v>
      </c>
      <c r="R356" s="20"/>
    </row>
    <row r="357" spans="1:18" ht="20.100000000000001" customHeight="1">
      <c r="A357" s="7">
        <v>352</v>
      </c>
      <c r="B357" s="8">
        <v>3204312004</v>
      </c>
      <c r="C357" s="9" t="s">
        <v>1477</v>
      </c>
      <c r="D357" s="10" t="s">
        <v>22</v>
      </c>
      <c r="E357" s="11" t="s">
        <v>1478</v>
      </c>
      <c r="F357" s="11" t="s">
        <v>1479</v>
      </c>
      <c r="G357" s="9" t="s">
        <v>1480</v>
      </c>
      <c r="H357" s="9" t="s">
        <v>127</v>
      </c>
      <c r="I357" s="9" t="s">
        <v>1432</v>
      </c>
      <c r="J357" s="9" t="s">
        <v>100</v>
      </c>
      <c r="K357" s="12" t="s">
        <v>19</v>
      </c>
      <c r="L357" s="13" t="s">
        <v>20</v>
      </c>
      <c r="M357" s="12" t="s">
        <v>2604</v>
      </c>
      <c r="N357" s="12" t="s">
        <v>2605</v>
      </c>
      <c r="O357" s="12" t="s">
        <v>2627</v>
      </c>
      <c r="P357" s="14" t="s">
        <v>2610</v>
      </c>
      <c r="Q357">
        <v>1</v>
      </c>
      <c r="R357" s="20"/>
    </row>
    <row r="358" spans="1:18" ht="20.100000000000001" customHeight="1">
      <c r="A358" s="7">
        <v>353</v>
      </c>
      <c r="B358" s="8">
        <v>3204312004</v>
      </c>
      <c r="C358" s="9" t="s">
        <v>1481</v>
      </c>
      <c r="D358" s="10" t="s">
        <v>22</v>
      </c>
      <c r="E358" s="11" t="s">
        <v>1482</v>
      </c>
      <c r="F358" s="11" t="s">
        <v>1483</v>
      </c>
      <c r="G358" s="9" t="s">
        <v>1484</v>
      </c>
      <c r="H358" s="9" t="s">
        <v>127</v>
      </c>
      <c r="I358" s="9" t="s">
        <v>1432</v>
      </c>
      <c r="J358" s="9" t="s">
        <v>100</v>
      </c>
      <c r="K358" s="12" t="s">
        <v>19</v>
      </c>
      <c r="L358" s="13" t="s">
        <v>20</v>
      </c>
      <c r="M358" s="12" t="s">
        <v>2604</v>
      </c>
      <c r="N358" s="12" t="s">
        <v>2605</v>
      </c>
      <c r="O358" s="12" t="s">
        <v>2616</v>
      </c>
      <c r="P358" s="14" t="s">
        <v>2607</v>
      </c>
      <c r="Q358">
        <v>1</v>
      </c>
      <c r="R358" s="20"/>
    </row>
    <row r="359" spans="1:18" ht="20.100000000000001" customHeight="1">
      <c r="A359" s="7">
        <v>354</v>
      </c>
      <c r="B359" s="8">
        <v>3204312004</v>
      </c>
      <c r="C359" s="9" t="s">
        <v>1485</v>
      </c>
      <c r="D359" s="10" t="s">
        <v>22</v>
      </c>
      <c r="E359" s="11" t="s">
        <v>1486</v>
      </c>
      <c r="F359" s="11" t="s">
        <v>1487</v>
      </c>
      <c r="G359" s="9" t="s">
        <v>1488</v>
      </c>
      <c r="H359" s="9" t="s">
        <v>127</v>
      </c>
      <c r="I359" s="9" t="s">
        <v>1432</v>
      </c>
      <c r="J359" s="9" t="s">
        <v>100</v>
      </c>
      <c r="K359" s="12" t="s">
        <v>19</v>
      </c>
      <c r="L359" s="13" t="s">
        <v>20</v>
      </c>
      <c r="M359" s="12" t="s">
        <v>2604</v>
      </c>
      <c r="N359" s="12" t="s">
        <v>2605</v>
      </c>
      <c r="O359" s="12" t="s">
        <v>2611</v>
      </c>
      <c r="P359" s="14" t="s">
        <v>2607</v>
      </c>
      <c r="Q359">
        <v>1</v>
      </c>
      <c r="R359" s="20"/>
    </row>
    <row r="360" spans="1:18" ht="20.100000000000001" customHeight="1">
      <c r="A360" s="7">
        <v>355</v>
      </c>
      <c r="B360" s="8">
        <v>3204312004</v>
      </c>
      <c r="C360" s="9" t="s">
        <v>1489</v>
      </c>
      <c r="D360" s="10" t="s">
        <v>18</v>
      </c>
      <c r="E360" s="11" t="s">
        <v>1490</v>
      </c>
      <c r="F360" s="11" t="s">
        <v>1491</v>
      </c>
      <c r="G360" s="9" t="s">
        <v>1492</v>
      </c>
      <c r="H360" s="9" t="s">
        <v>127</v>
      </c>
      <c r="I360" s="9" t="s">
        <v>1432</v>
      </c>
      <c r="J360" s="9" t="s">
        <v>100</v>
      </c>
      <c r="K360" s="12" t="s">
        <v>19</v>
      </c>
      <c r="L360" s="13" t="s">
        <v>20</v>
      </c>
      <c r="M360" s="12" t="s">
        <v>2604</v>
      </c>
      <c r="N360" s="12" t="s">
        <v>2605</v>
      </c>
      <c r="O360" s="12" t="s">
        <v>2627</v>
      </c>
      <c r="P360" s="14" t="s">
        <v>2610</v>
      </c>
      <c r="Q360">
        <v>1</v>
      </c>
      <c r="R360" s="20"/>
    </row>
    <row r="361" spans="1:18" ht="20.100000000000001" customHeight="1">
      <c r="A361" s="7">
        <v>356</v>
      </c>
      <c r="B361" s="8">
        <v>3204312004</v>
      </c>
      <c r="C361" s="9" t="s">
        <v>175</v>
      </c>
      <c r="D361" s="10" t="s">
        <v>22</v>
      </c>
      <c r="E361" s="11" t="s">
        <v>1493</v>
      </c>
      <c r="F361" s="11" t="s">
        <v>1494</v>
      </c>
      <c r="G361" s="9" t="s">
        <v>1495</v>
      </c>
      <c r="H361" s="9" t="s">
        <v>127</v>
      </c>
      <c r="I361" s="9" t="s">
        <v>1432</v>
      </c>
      <c r="J361" s="9" t="s">
        <v>100</v>
      </c>
      <c r="K361" s="12" t="s">
        <v>19</v>
      </c>
      <c r="L361" s="13" t="s">
        <v>20</v>
      </c>
      <c r="M361" s="12" t="s">
        <v>2604</v>
      </c>
      <c r="N361" s="12" t="s">
        <v>2605</v>
      </c>
      <c r="O361" s="12" t="s">
        <v>2606</v>
      </c>
      <c r="P361" s="14" t="s">
        <v>2607</v>
      </c>
      <c r="Q361">
        <v>1</v>
      </c>
      <c r="R361" s="20"/>
    </row>
    <row r="362" spans="1:18" ht="20.100000000000001" customHeight="1">
      <c r="A362" s="7">
        <v>357</v>
      </c>
      <c r="B362" s="8">
        <v>3204312004</v>
      </c>
      <c r="C362" s="9" t="s">
        <v>1496</v>
      </c>
      <c r="D362" s="10" t="s">
        <v>22</v>
      </c>
      <c r="E362" s="11" t="s">
        <v>1497</v>
      </c>
      <c r="F362" s="11" t="s">
        <v>1498</v>
      </c>
      <c r="G362" s="9" t="s">
        <v>1488</v>
      </c>
      <c r="H362" s="9" t="s">
        <v>127</v>
      </c>
      <c r="I362" s="9" t="s">
        <v>1432</v>
      </c>
      <c r="J362" s="9" t="s">
        <v>100</v>
      </c>
      <c r="K362" s="12" t="s">
        <v>19</v>
      </c>
      <c r="L362" s="13" t="s">
        <v>20</v>
      </c>
      <c r="M362" s="12" t="s">
        <v>2604</v>
      </c>
      <c r="N362" s="12" t="s">
        <v>2605</v>
      </c>
      <c r="O362" s="12" t="s">
        <v>2608</v>
      </c>
      <c r="P362" s="14" t="s">
        <v>2607</v>
      </c>
      <c r="Q362">
        <v>1</v>
      </c>
      <c r="R362" s="20"/>
    </row>
    <row r="363" spans="1:18" ht="20.100000000000001" customHeight="1">
      <c r="A363" s="7">
        <v>358</v>
      </c>
      <c r="B363" s="8">
        <v>3204312004</v>
      </c>
      <c r="C363" s="9" t="s">
        <v>165</v>
      </c>
      <c r="D363" s="10" t="s">
        <v>22</v>
      </c>
      <c r="E363" s="11" t="s">
        <v>1499</v>
      </c>
      <c r="F363" s="11" t="s">
        <v>1500</v>
      </c>
      <c r="G363" s="9" t="s">
        <v>1501</v>
      </c>
      <c r="H363" s="9" t="s">
        <v>127</v>
      </c>
      <c r="I363" s="9" t="s">
        <v>1432</v>
      </c>
      <c r="J363" s="9" t="s">
        <v>100</v>
      </c>
      <c r="K363" s="12" t="s">
        <v>19</v>
      </c>
      <c r="L363" s="13" t="s">
        <v>20</v>
      </c>
      <c r="M363" s="12" t="s">
        <v>2604</v>
      </c>
      <c r="N363" s="12" t="s">
        <v>2605</v>
      </c>
      <c r="O363" s="12" t="s">
        <v>2606</v>
      </c>
      <c r="P363" s="14" t="s">
        <v>2607</v>
      </c>
      <c r="Q363">
        <v>1</v>
      </c>
      <c r="R363" s="20"/>
    </row>
    <row r="364" spans="1:18" ht="20.100000000000001" customHeight="1">
      <c r="A364" s="7">
        <v>359</v>
      </c>
      <c r="B364" s="8">
        <v>3204312004</v>
      </c>
      <c r="C364" s="9" t="s">
        <v>185</v>
      </c>
      <c r="D364" s="10" t="s">
        <v>18</v>
      </c>
      <c r="E364" s="11" t="s">
        <v>1502</v>
      </c>
      <c r="F364" s="11" t="s">
        <v>1503</v>
      </c>
      <c r="G364" s="9" t="s">
        <v>1504</v>
      </c>
      <c r="H364" s="9" t="s">
        <v>127</v>
      </c>
      <c r="I364" s="9" t="s">
        <v>1432</v>
      </c>
      <c r="J364" s="9" t="s">
        <v>100</v>
      </c>
      <c r="K364" s="12" t="s">
        <v>19</v>
      </c>
      <c r="L364" s="13" t="s">
        <v>20</v>
      </c>
      <c r="M364" s="12" t="s">
        <v>2604</v>
      </c>
      <c r="N364" s="12" t="s">
        <v>2605</v>
      </c>
      <c r="O364" s="12" t="s">
        <v>2619</v>
      </c>
      <c r="P364" s="14" t="s">
        <v>2610</v>
      </c>
      <c r="Q364">
        <v>1</v>
      </c>
      <c r="R364" s="20"/>
    </row>
    <row r="365" spans="1:18" ht="20.100000000000001" customHeight="1">
      <c r="A365" s="7">
        <v>360</v>
      </c>
      <c r="B365" s="8">
        <v>3204312004</v>
      </c>
      <c r="C365" s="9" t="s">
        <v>1505</v>
      </c>
      <c r="D365" s="10" t="s">
        <v>22</v>
      </c>
      <c r="E365" s="11" t="s">
        <v>1506</v>
      </c>
      <c r="F365" s="11" t="s">
        <v>1507</v>
      </c>
      <c r="G365" s="9" t="s">
        <v>1488</v>
      </c>
      <c r="H365" s="9" t="s">
        <v>127</v>
      </c>
      <c r="I365" s="9" t="s">
        <v>1432</v>
      </c>
      <c r="J365" s="9" t="s">
        <v>100</v>
      </c>
      <c r="K365" s="12" t="s">
        <v>19</v>
      </c>
      <c r="L365" s="13" t="s">
        <v>20</v>
      </c>
      <c r="M365" s="12" t="s">
        <v>2604</v>
      </c>
      <c r="N365" s="12" t="s">
        <v>2605</v>
      </c>
      <c r="O365" s="12" t="s">
        <v>2611</v>
      </c>
      <c r="P365" s="14" t="s">
        <v>2607</v>
      </c>
      <c r="Q365">
        <v>1</v>
      </c>
      <c r="R365" s="20"/>
    </row>
    <row r="366" spans="1:18" ht="20.100000000000001" customHeight="1">
      <c r="A366" s="7">
        <v>361</v>
      </c>
      <c r="B366" s="8">
        <v>3204312004</v>
      </c>
      <c r="C366" s="9" t="s">
        <v>1508</v>
      </c>
      <c r="D366" s="10" t="s">
        <v>22</v>
      </c>
      <c r="E366" s="11" t="s">
        <v>1509</v>
      </c>
      <c r="F366" s="11" t="s">
        <v>1510</v>
      </c>
      <c r="G366" s="9" t="s">
        <v>1484</v>
      </c>
      <c r="H366" s="9" t="s">
        <v>127</v>
      </c>
      <c r="I366" s="9" t="s">
        <v>1432</v>
      </c>
      <c r="J366" s="9" t="s">
        <v>100</v>
      </c>
      <c r="K366" s="12" t="s">
        <v>19</v>
      </c>
      <c r="L366" s="13" t="s">
        <v>20</v>
      </c>
      <c r="M366" s="12" t="s">
        <v>2604</v>
      </c>
      <c r="N366" s="12" t="s">
        <v>2605</v>
      </c>
      <c r="O366" s="12" t="s">
        <v>2608</v>
      </c>
      <c r="P366" s="14" t="s">
        <v>2607</v>
      </c>
      <c r="Q366">
        <v>1</v>
      </c>
      <c r="R366" s="20"/>
    </row>
    <row r="367" spans="1:18" ht="20.100000000000001" customHeight="1">
      <c r="A367" s="7">
        <v>362</v>
      </c>
      <c r="B367" s="8">
        <v>3204462010</v>
      </c>
      <c r="C367" s="9" t="s">
        <v>1511</v>
      </c>
      <c r="D367" s="10" t="s">
        <v>22</v>
      </c>
      <c r="E367" s="11" t="s">
        <v>1512</v>
      </c>
      <c r="F367" s="11" t="s">
        <v>1513</v>
      </c>
      <c r="G367" s="9" t="s">
        <v>161</v>
      </c>
      <c r="H367" s="9" t="s">
        <v>1514</v>
      </c>
      <c r="I367" s="9" t="s">
        <v>1515</v>
      </c>
      <c r="J367" s="9" t="s">
        <v>100</v>
      </c>
      <c r="K367" s="12" t="s">
        <v>19</v>
      </c>
      <c r="L367" s="13" t="s">
        <v>20</v>
      </c>
      <c r="M367" s="12" t="s">
        <v>2604</v>
      </c>
      <c r="N367" s="12" t="s">
        <v>2605</v>
      </c>
      <c r="O367" s="12" t="s">
        <v>195</v>
      </c>
      <c r="P367" s="14" t="s">
        <v>2621</v>
      </c>
      <c r="Q367">
        <v>1</v>
      </c>
      <c r="R367" s="20">
        <f>SUM(Q367:Q385)</f>
        <v>19</v>
      </c>
    </row>
    <row r="368" spans="1:18" ht="20.100000000000001" customHeight="1">
      <c r="A368" s="7">
        <v>363</v>
      </c>
      <c r="B368" s="8">
        <v>3204462010</v>
      </c>
      <c r="C368" s="9" t="s">
        <v>1516</v>
      </c>
      <c r="D368" s="10" t="s">
        <v>22</v>
      </c>
      <c r="E368" s="11" t="s">
        <v>1517</v>
      </c>
      <c r="F368" s="11" t="s">
        <v>1518</v>
      </c>
      <c r="G368" s="9" t="s">
        <v>1519</v>
      </c>
      <c r="H368" s="9" t="s">
        <v>1514</v>
      </c>
      <c r="I368" s="9" t="s">
        <v>1515</v>
      </c>
      <c r="J368" s="9" t="s">
        <v>100</v>
      </c>
      <c r="K368" s="12" t="s">
        <v>19</v>
      </c>
      <c r="L368" s="13" t="s">
        <v>20</v>
      </c>
      <c r="M368" s="12" t="s">
        <v>2604</v>
      </c>
      <c r="N368" s="12" t="s">
        <v>2605</v>
      </c>
      <c r="O368" s="12" t="s">
        <v>195</v>
      </c>
      <c r="P368" s="14" t="s">
        <v>2621</v>
      </c>
      <c r="Q368">
        <v>1</v>
      </c>
      <c r="R368" s="20"/>
    </row>
    <row r="369" spans="1:18" ht="20.100000000000001" customHeight="1">
      <c r="A369" s="7">
        <v>364</v>
      </c>
      <c r="B369" s="8">
        <v>3204462010</v>
      </c>
      <c r="C369" s="9" t="s">
        <v>1520</v>
      </c>
      <c r="D369" s="10" t="s">
        <v>22</v>
      </c>
      <c r="E369" s="11" t="s">
        <v>1521</v>
      </c>
      <c r="F369" s="11" t="s">
        <v>1522</v>
      </c>
      <c r="G369" s="9" t="s">
        <v>1519</v>
      </c>
      <c r="H369" s="9" t="s">
        <v>1514</v>
      </c>
      <c r="I369" s="9" t="s">
        <v>1515</v>
      </c>
      <c r="J369" s="9" t="s">
        <v>100</v>
      </c>
      <c r="K369" s="12" t="s">
        <v>19</v>
      </c>
      <c r="L369" s="13" t="s">
        <v>20</v>
      </c>
      <c r="M369" s="12" t="s">
        <v>2604</v>
      </c>
      <c r="N369" s="12" t="s">
        <v>2605</v>
      </c>
      <c r="O369" s="12" t="s">
        <v>195</v>
      </c>
      <c r="P369" s="14" t="s">
        <v>2621</v>
      </c>
      <c r="Q369">
        <v>1</v>
      </c>
      <c r="R369" s="20"/>
    </row>
    <row r="370" spans="1:18" ht="20.100000000000001" customHeight="1">
      <c r="A370" s="7">
        <v>365</v>
      </c>
      <c r="B370" s="8">
        <v>3204462010</v>
      </c>
      <c r="C370" s="9" t="s">
        <v>229</v>
      </c>
      <c r="D370" s="10" t="s">
        <v>22</v>
      </c>
      <c r="E370" s="11" t="s">
        <v>1523</v>
      </c>
      <c r="F370" s="11" t="s">
        <v>1524</v>
      </c>
      <c r="G370" s="9" t="s">
        <v>161</v>
      </c>
      <c r="H370" s="9" t="s">
        <v>1514</v>
      </c>
      <c r="I370" s="9" t="s">
        <v>1515</v>
      </c>
      <c r="J370" s="9" t="s">
        <v>100</v>
      </c>
      <c r="K370" s="12" t="s">
        <v>19</v>
      </c>
      <c r="L370" s="13" t="s">
        <v>20</v>
      </c>
      <c r="M370" s="12" t="s">
        <v>2604</v>
      </c>
      <c r="N370" s="12" t="s">
        <v>2605</v>
      </c>
      <c r="O370" s="12" t="s">
        <v>195</v>
      </c>
      <c r="P370" s="14" t="s">
        <v>2621</v>
      </c>
      <c r="Q370">
        <v>1</v>
      </c>
      <c r="R370" s="20"/>
    </row>
    <row r="371" spans="1:18" ht="20.100000000000001" customHeight="1">
      <c r="A371" s="7">
        <v>366</v>
      </c>
      <c r="B371" s="8">
        <v>3204462010</v>
      </c>
      <c r="C371" s="9" t="s">
        <v>1525</v>
      </c>
      <c r="D371" s="10" t="s">
        <v>22</v>
      </c>
      <c r="E371" s="11" t="s">
        <v>1526</v>
      </c>
      <c r="F371" s="11" t="s">
        <v>1527</v>
      </c>
      <c r="G371" s="9" t="s">
        <v>1528</v>
      </c>
      <c r="H371" s="9" t="s">
        <v>1514</v>
      </c>
      <c r="I371" s="9" t="s">
        <v>1515</v>
      </c>
      <c r="J371" s="9" t="s">
        <v>100</v>
      </c>
      <c r="K371" s="12" t="s">
        <v>19</v>
      </c>
      <c r="L371" s="13" t="s">
        <v>20</v>
      </c>
      <c r="M371" s="12" t="s">
        <v>2604</v>
      </c>
      <c r="N371" s="12" t="s">
        <v>2605</v>
      </c>
      <c r="O371" s="12" t="s">
        <v>2619</v>
      </c>
      <c r="P371" s="14" t="s">
        <v>2610</v>
      </c>
      <c r="Q371">
        <v>1</v>
      </c>
      <c r="R371" s="20"/>
    </row>
    <row r="372" spans="1:18" ht="20.100000000000001" customHeight="1">
      <c r="A372" s="7">
        <v>367</v>
      </c>
      <c r="B372" s="8">
        <v>3204462010</v>
      </c>
      <c r="C372" s="9" t="s">
        <v>1529</v>
      </c>
      <c r="D372" s="10" t="s">
        <v>22</v>
      </c>
      <c r="E372" s="11" t="s">
        <v>1530</v>
      </c>
      <c r="F372" s="11" t="s">
        <v>1531</v>
      </c>
      <c r="G372" s="9" t="s">
        <v>1528</v>
      </c>
      <c r="H372" s="9" t="s">
        <v>1514</v>
      </c>
      <c r="I372" s="9" t="s">
        <v>1515</v>
      </c>
      <c r="J372" s="9" t="s">
        <v>100</v>
      </c>
      <c r="K372" s="12" t="s">
        <v>19</v>
      </c>
      <c r="L372" s="13" t="s">
        <v>20</v>
      </c>
      <c r="M372" s="12" t="s">
        <v>2604</v>
      </c>
      <c r="N372" s="12" t="s">
        <v>2605</v>
      </c>
      <c r="O372" s="12" t="s">
        <v>2606</v>
      </c>
      <c r="P372" s="14" t="s">
        <v>2607</v>
      </c>
      <c r="Q372">
        <v>1</v>
      </c>
      <c r="R372" s="20"/>
    </row>
    <row r="373" spans="1:18" ht="20.100000000000001" customHeight="1">
      <c r="A373" s="7">
        <v>368</v>
      </c>
      <c r="B373" s="8">
        <v>3204462010</v>
      </c>
      <c r="C373" s="9" t="s">
        <v>1532</v>
      </c>
      <c r="D373" s="10" t="s">
        <v>18</v>
      </c>
      <c r="E373" s="11" t="s">
        <v>1533</v>
      </c>
      <c r="F373" s="11" t="s">
        <v>1534</v>
      </c>
      <c r="G373" s="9" t="s">
        <v>1528</v>
      </c>
      <c r="H373" s="9" t="s">
        <v>1514</v>
      </c>
      <c r="I373" s="9" t="s">
        <v>1515</v>
      </c>
      <c r="J373" s="9" t="s">
        <v>100</v>
      </c>
      <c r="K373" s="12" t="s">
        <v>19</v>
      </c>
      <c r="L373" s="13" t="s">
        <v>20</v>
      </c>
      <c r="M373" s="12" t="s">
        <v>2604</v>
      </c>
      <c r="N373" s="12" t="s">
        <v>2605</v>
      </c>
      <c r="O373" s="12" t="s">
        <v>2619</v>
      </c>
      <c r="P373" s="14" t="s">
        <v>2610</v>
      </c>
      <c r="Q373">
        <v>1</v>
      </c>
      <c r="R373" s="20"/>
    </row>
    <row r="374" spans="1:18" ht="20.100000000000001" customHeight="1">
      <c r="A374" s="7">
        <v>369</v>
      </c>
      <c r="B374" s="8">
        <v>3204462010</v>
      </c>
      <c r="C374" s="9" t="s">
        <v>1535</v>
      </c>
      <c r="D374" s="10" t="s">
        <v>22</v>
      </c>
      <c r="E374" s="11" t="s">
        <v>1536</v>
      </c>
      <c r="F374" s="11" t="s">
        <v>1537</v>
      </c>
      <c r="G374" s="9" t="s">
        <v>1528</v>
      </c>
      <c r="H374" s="9" t="s">
        <v>1514</v>
      </c>
      <c r="I374" s="9" t="s">
        <v>1515</v>
      </c>
      <c r="J374" s="9" t="s">
        <v>100</v>
      </c>
      <c r="K374" s="12" t="s">
        <v>19</v>
      </c>
      <c r="L374" s="13" t="s">
        <v>20</v>
      </c>
      <c r="M374" s="12" t="s">
        <v>2604</v>
      </c>
      <c r="N374" s="12" t="s">
        <v>2605</v>
      </c>
      <c r="O374" s="12" t="s">
        <v>2608</v>
      </c>
      <c r="P374" s="14" t="s">
        <v>2607</v>
      </c>
      <c r="Q374">
        <v>1</v>
      </c>
      <c r="R374" s="20"/>
    </row>
    <row r="375" spans="1:18" ht="20.100000000000001" customHeight="1">
      <c r="A375" s="7">
        <v>370</v>
      </c>
      <c r="B375" s="8">
        <v>3204462010</v>
      </c>
      <c r="C375" s="9" t="s">
        <v>1538</v>
      </c>
      <c r="D375" s="10" t="s">
        <v>22</v>
      </c>
      <c r="E375" s="11" t="s">
        <v>1539</v>
      </c>
      <c r="F375" s="11" t="s">
        <v>1540</v>
      </c>
      <c r="G375" s="9" t="s">
        <v>1541</v>
      </c>
      <c r="H375" s="9" t="s">
        <v>1514</v>
      </c>
      <c r="I375" s="9" t="s">
        <v>1515</v>
      </c>
      <c r="J375" s="9" t="s">
        <v>100</v>
      </c>
      <c r="K375" s="12" t="s">
        <v>19</v>
      </c>
      <c r="L375" s="13" t="s">
        <v>20</v>
      </c>
      <c r="M375" s="12" t="s">
        <v>2604</v>
      </c>
      <c r="N375" s="12" t="s">
        <v>2605</v>
      </c>
      <c r="O375" s="12" t="s">
        <v>2606</v>
      </c>
      <c r="P375" s="14" t="s">
        <v>2607</v>
      </c>
      <c r="Q375">
        <v>1</v>
      </c>
      <c r="R375" s="20"/>
    </row>
    <row r="376" spans="1:18" ht="20.100000000000001" customHeight="1">
      <c r="A376" s="7">
        <v>371</v>
      </c>
      <c r="B376" s="8">
        <v>3204462010</v>
      </c>
      <c r="C376" s="9" t="s">
        <v>1542</v>
      </c>
      <c r="D376" s="10" t="s">
        <v>18</v>
      </c>
      <c r="E376" s="11" t="s">
        <v>1543</v>
      </c>
      <c r="F376" s="11" t="s">
        <v>1544</v>
      </c>
      <c r="G376" s="9" t="s">
        <v>1541</v>
      </c>
      <c r="H376" s="9" t="s">
        <v>1514</v>
      </c>
      <c r="I376" s="9" t="s">
        <v>1515</v>
      </c>
      <c r="J376" s="9" t="s">
        <v>100</v>
      </c>
      <c r="K376" s="12" t="s">
        <v>19</v>
      </c>
      <c r="L376" s="13" t="s">
        <v>20</v>
      </c>
      <c r="M376" s="12" t="s">
        <v>2604</v>
      </c>
      <c r="N376" s="12" t="s">
        <v>2605</v>
      </c>
      <c r="O376" s="12" t="s">
        <v>2616</v>
      </c>
      <c r="P376" s="14" t="s">
        <v>2607</v>
      </c>
      <c r="Q376">
        <v>1</v>
      </c>
      <c r="R376" s="20"/>
    </row>
    <row r="377" spans="1:18" ht="20.100000000000001" customHeight="1">
      <c r="A377" s="7">
        <v>372</v>
      </c>
      <c r="B377" s="8">
        <v>3204462010</v>
      </c>
      <c r="C377" s="9" t="s">
        <v>1545</v>
      </c>
      <c r="D377" s="10" t="s">
        <v>22</v>
      </c>
      <c r="E377" s="11" t="s">
        <v>1546</v>
      </c>
      <c r="F377" s="11" t="s">
        <v>1547</v>
      </c>
      <c r="G377" s="9" t="s">
        <v>1541</v>
      </c>
      <c r="H377" s="9" t="s">
        <v>1514</v>
      </c>
      <c r="I377" s="9" t="s">
        <v>1515</v>
      </c>
      <c r="J377" s="9" t="s">
        <v>100</v>
      </c>
      <c r="K377" s="12" t="s">
        <v>19</v>
      </c>
      <c r="L377" s="13" t="s">
        <v>20</v>
      </c>
      <c r="M377" s="12" t="s">
        <v>2604</v>
      </c>
      <c r="N377" s="12" t="s">
        <v>2605</v>
      </c>
      <c r="O377" s="12" t="s">
        <v>2606</v>
      </c>
      <c r="P377" s="14" t="s">
        <v>2607</v>
      </c>
      <c r="Q377">
        <v>1</v>
      </c>
      <c r="R377" s="20"/>
    </row>
    <row r="378" spans="1:18" ht="20.100000000000001" customHeight="1">
      <c r="A378" s="7">
        <v>373</v>
      </c>
      <c r="B378" s="8">
        <v>3204462010</v>
      </c>
      <c r="C378" s="9" t="s">
        <v>1548</v>
      </c>
      <c r="D378" s="10" t="s">
        <v>18</v>
      </c>
      <c r="E378" s="11" t="s">
        <v>1549</v>
      </c>
      <c r="F378" s="11" t="s">
        <v>1550</v>
      </c>
      <c r="G378" s="9" t="s">
        <v>1551</v>
      </c>
      <c r="H378" s="9" t="s">
        <v>1514</v>
      </c>
      <c r="I378" s="9" t="s">
        <v>1515</v>
      </c>
      <c r="J378" s="9" t="s">
        <v>100</v>
      </c>
      <c r="K378" s="12" t="s">
        <v>19</v>
      </c>
      <c r="L378" s="13" t="s">
        <v>20</v>
      </c>
      <c r="M378" s="12" t="s">
        <v>2604</v>
      </c>
      <c r="N378" s="12" t="s">
        <v>2605</v>
      </c>
      <c r="O378" s="12" t="s">
        <v>2608</v>
      </c>
      <c r="P378" s="14" t="s">
        <v>2607</v>
      </c>
      <c r="Q378">
        <v>1</v>
      </c>
      <c r="R378" s="20"/>
    </row>
    <row r="379" spans="1:18" ht="20.100000000000001" customHeight="1">
      <c r="A379" s="7">
        <v>374</v>
      </c>
      <c r="B379" s="8">
        <v>3204462010</v>
      </c>
      <c r="C379" s="9" t="s">
        <v>1552</v>
      </c>
      <c r="D379" s="10" t="s">
        <v>22</v>
      </c>
      <c r="E379" s="11" t="s">
        <v>1553</v>
      </c>
      <c r="F379" s="11" t="s">
        <v>1554</v>
      </c>
      <c r="G379" s="9" t="s">
        <v>1551</v>
      </c>
      <c r="H379" s="9" t="s">
        <v>1514</v>
      </c>
      <c r="I379" s="9" t="s">
        <v>1515</v>
      </c>
      <c r="J379" s="9" t="s">
        <v>100</v>
      </c>
      <c r="K379" s="12" t="s">
        <v>19</v>
      </c>
      <c r="L379" s="13" t="s">
        <v>20</v>
      </c>
      <c r="M379" s="12" t="s">
        <v>2604</v>
      </c>
      <c r="N379" s="12" t="s">
        <v>2605</v>
      </c>
      <c r="O379" s="12" t="s">
        <v>2624</v>
      </c>
      <c r="P379" s="14" t="s">
        <v>2615</v>
      </c>
      <c r="Q379">
        <v>1</v>
      </c>
      <c r="R379" s="20"/>
    </row>
    <row r="380" spans="1:18" ht="20.100000000000001" customHeight="1">
      <c r="A380" s="7">
        <v>375</v>
      </c>
      <c r="B380" s="8">
        <v>3204462010</v>
      </c>
      <c r="C380" s="9" t="s">
        <v>1555</v>
      </c>
      <c r="D380" s="10" t="s">
        <v>22</v>
      </c>
      <c r="E380" s="11" t="s">
        <v>1556</v>
      </c>
      <c r="F380" s="11" t="s">
        <v>1557</v>
      </c>
      <c r="G380" s="9" t="s">
        <v>1551</v>
      </c>
      <c r="H380" s="9" t="s">
        <v>1514</v>
      </c>
      <c r="I380" s="9" t="s">
        <v>1515</v>
      </c>
      <c r="J380" s="9" t="s">
        <v>100</v>
      </c>
      <c r="K380" s="12" t="s">
        <v>19</v>
      </c>
      <c r="L380" s="13" t="s">
        <v>20</v>
      </c>
      <c r="M380" s="12" t="s">
        <v>2604</v>
      </c>
      <c r="N380" s="12" t="s">
        <v>2605</v>
      </c>
      <c r="O380" s="12" t="s">
        <v>2617</v>
      </c>
      <c r="P380" s="14" t="s">
        <v>2610</v>
      </c>
      <c r="Q380">
        <v>1</v>
      </c>
      <c r="R380" s="20"/>
    </row>
    <row r="381" spans="1:18" ht="20.100000000000001" customHeight="1">
      <c r="A381" s="7">
        <v>376</v>
      </c>
      <c r="B381" s="8">
        <v>3204462010</v>
      </c>
      <c r="C381" s="9" t="s">
        <v>1558</v>
      </c>
      <c r="D381" s="10" t="s">
        <v>18</v>
      </c>
      <c r="E381" s="11" t="s">
        <v>1559</v>
      </c>
      <c r="F381" s="11" t="s">
        <v>1560</v>
      </c>
      <c r="G381" s="9" t="s">
        <v>1551</v>
      </c>
      <c r="H381" s="9" t="s">
        <v>1514</v>
      </c>
      <c r="I381" s="9" t="s">
        <v>1515</v>
      </c>
      <c r="J381" s="9" t="s">
        <v>100</v>
      </c>
      <c r="K381" s="12" t="s">
        <v>19</v>
      </c>
      <c r="L381" s="13" t="s">
        <v>20</v>
      </c>
      <c r="M381" s="12" t="s">
        <v>2604</v>
      </c>
      <c r="N381" s="12" t="s">
        <v>2605</v>
      </c>
      <c r="O381" s="12" t="s">
        <v>2608</v>
      </c>
      <c r="P381" s="14" t="s">
        <v>2607</v>
      </c>
      <c r="Q381">
        <v>1</v>
      </c>
      <c r="R381" s="20"/>
    </row>
    <row r="382" spans="1:18" ht="20.100000000000001" customHeight="1">
      <c r="A382" s="7">
        <v>377</v>
      </c>
      <c r="B382" s="8">
        <v>3204462010</v>
      </c>
      <c r="C382" s="9" t="s">
        <v>1561</v>
      </c>
      <c r="D382" s="10" t="s">
        <v>18</v>
      </c>
      <c r="E382" s="11" t="s">
        <v>1562</v>
      </c>
      <c r="F382" s="11" t="s">
        <v>1563</v>
      </c>
      <c r="G382" s="9" t="s">
        <v>1564</v>
      </c>
      <c r="H382" s="9" t="s">
        <v>1514</v>
      </c>
      <c r="I382" s="9" t="s">
        <v>1515</v>
      </c>
      <c r="J382" s="9" t="s">
        <v>100</v>
      </c>
      <c r="K382" s="12" t="s">
        <v>19</v>
      </c>
      <c r="L382" s="13" t="s">
        <v>20</v>
      </c>
      <c r="M382" s="12" t="s">
        <v>2604</v>
      </c>
      <c r="N382" s="12" t="s">
        <v>2605</v>
      </c>
      <c r="O382" s="12" t="s">
        <v>195</v>
      </c>
      <c r="P382" s="14" t="s">
        <v>2621</v>
      </c>
      <c r="Q382">
        <v>1</v>
      </c>
      <c r="R382" s="20"/>
    </row>
    <row r="383" spans="1:18" ht="20.100000000000001" customHeight="1">
      <c r="A383" s="7">
        <v>378</v>
      </c>
      <c r="B383" s="8">
        <v>3204462010</v>
      </c>
      <c r="C383" s="9" t="s">
        <v>1565</v>
      </c>
      <c r="D383" s="10" t="s">
        <v>18</v>
      </c>
      <c r="E383" s="11" t="s">
        <v>1566</v>
      </c>
      <c r="F383" s="11" t="s">
        <v>1567</v>
      </c>
      <c r="G383" s="9" t="s">
        <v>1568</v>
      </c>
      <c r="H383" s="9" t="s">
        <v>1514</v>
      </c>
      <c r="I383" s="9" t="s">
        <v>1515</v>
      </c>
      <c r="J383" s="9" t="s">
        <v>100</v>
      </c>
      <c r="K383" s="12" t="s">
        <v>19</v>
      </c>
      <c r="L383" s="13" t="s">
        <v>20</v>
      </c>
      <c r="M383" s="12" t="s">
        <v>2604</v>
      </c>
      <c r="N383" s="12" t="s">
        <v>2605</v>
      </c>
      <c r="O383" s="12" t="s">
        <v>2606</v>
      </c>
      <c r="P383" s="14" t="s">
        <v>2607</v>
      </c>
      <c r="Q383">
        <v>1</v>
      </c>
      <c r="R383" s="20"/>
    </row>
    <row r="384" spans="1:18" ht="20.100000000000001" customHeight="1">
      <c r="A384" s="7">
        <v>379</v>
      </c>
      <c r="B384" s="8">
        <v>3204462010</v>
      </c>
      <c r="C384" s="9" t="s">
        <v>1569</v>
      </c>
      <c r="D384" s="10" t="s">
        <v>22</v>
      </c>
      <c r="E384" s="11" t="s">
        <v>1570</v>
      </c>
      <c r="F384" s="11" t="s">
        <v>1571</v>
      </c>
      <c r="G384" s="9" t="s">
        <v>1541</v>
      </c>
      <c r="H384" s="9" t="s">
        <v>1514</v>
      </c>
      <c r="I384" s="9" t="s">
        <v>1515</v>
      </c>
      <c r="J384" s="9" t="s">
        <v>100</v>
      </c>
      <c r="K384" s="12" t="s">
        <v>19</v>
      </c>
      <c r="L384" s="13" t="s">
        <v>20</v>
      </c>
      <c r="M384" s="12" t="s">
        <v>2604</v>
      </c>
      <c r="N384" s="12" t="s">
        <v>2605</v>
      </c>
      <c r="O384" s="12" t="s">
        <v>2619</v>
      </c>
      <c r="P384" s="14" t="s">
        <v>2610</v>
      </c>
      <c r="Q384">
        <v>1</v>
      </c>
      <c r="R384" s="20"/>
    </row>
    <row r="385" spans="1:18" ht="20.100000000000001" customHeight="1">
      <c r="A385" s="7">
        <v>380</v>
      </c>
      <c r="B385" s="8">
        <v>3204462010</v>
      </c>
      <c r="C385" s="9" t="s">
        <v>1572</v>
      </c>
      <c r="D385" s="10" t="s">
        <v>18</v>
      </c>
      <c r="E385" s="11" t="s">
        <v>1573</v>
      </c>
      <c r="F385" s="11" t="s">
        <v>1574</v>
      </c>
      <c r="G385" s="9" t="s">
        <v>1541</v>
      </c>
      <c r="H385" s="9" t="s">
        <v>1514</v>
      </c>
      <c r="I385" s="9" t="s">
        <v>1515</v>
      </c>
      <c r="J385" s="9" t="s">
        <v>100</v>
      </c>
      <c r="K385" s="12" t="s">
        <v>19</v>
      </c>
      <c r="L385" s="13" t="s">
        <v>20</v>
      </c>
      <c r="M385" s="12" t="s">
        <v>2604</v>
      </c>
      <c r="N385" s="12" t="s">
        <v>2605</v>
      </c>
      <c r="O385" s="12" t="s">
        <v>2614</v>
      </c>
      <c r="P385" s="14" t="s">
        <v>2615</v>
      </c>
      <c r="Q385">
        <v>1</v>
      </c>
      <c r="R385" s="20"/>
    </row>
    <row r="386" spans="1:18" ht="20.100000000000001" customHeight="1">
      <c r="A386" s="7">
        <v>381</v>
      </c>
      <c r="B386" s="8">
        <v>3204462002</v>
      </c>
      <c r="C386" s="9" t="s">
        <v>209</v>
      </c>
      <c r="D386" s="10" t="s">
        <v>22</v>
      </c>
      <c r="E386" s="11" t="s">
        <v>1575</v>
      </c>
      <c r="F386" s="11" t="s">
        <v>1576</v>
      </c>
      <c r="G386" s="9" t="s">
        <v>1577</v>
      </c>
      <c r="H386" s="9" t="s">
        <v>138</v>
      </c>
      <c r="I386" s="9" t="s">
        <v>1515</v>
      </c>
      <c r="J386" s="9" t="s">
        <v>100</v>
      </c>
      <c r="K386" s="12" t="s">
        <v>19</v>
      </c>
      <c r="L386" s="13" t="s">
        <v>20</v>
      </c>
      <c r="M386" s="12" t="s">
        <v>2604</v>
      </c>
      <c r="N386" s="12" t="s">
        <v>2605</v>
      </c>
      <c r="O386" s="12" t="s">
        <v>195</v>
      </c>
      <c r="P386" s="14" t="s">
        <v>2621</v>
      </c>
      <c r="Q386">
        <v>1</v>
      </c>
      <c r="R386" s="20">
        <f>SUM(Q386:Q401)</f>
        <v>16</v>
      </c>
    </row>
    <row r="387" spans="1:18" ht="20.100000000000001" customHeight="1">
      <c r="A387" s="7">
        <v>382</v>
      </c>
      <c r="B387" s="8">
        <v>3204462002</v>
      </c>
      <c r="C387" s="9" t="s">
        <v>192</v>
      </c>
      <c r="D387" s="10" t="s">
        <v>22</v>
      </c>
      <c r="E387" s="11" t="s">
        <v>1578</v>
      </c>
      <c r="F387" s="11" t="s">
        <v>1579</v>
      </c>
      <c r="G387" s="9" t="s">
        <v>1580</v>
      </c>
      <c r="H387" s="9" t="s">
        <v>138</v>
      </c>
      <c r="I387" s="9" t="s">
        <v>1515</v>
      </c>
      <c r="J387" s="9" t="s">
        <v>100</v>
      </c>
      <c r="K387" s="12" t="s">
        <v>19</v>
      </c>
      <c r="L387" s="13" t="s">
        <v>20</v>
      </c>
      <c r="M387" s="12" t="s">
        <v>2604</v>
      </c>
      <c r="N387" s="12" t="s">
        <v>2605</v>
      </c>
      <c r="O387" s="12" t="s">
        <v>195</v>
      </c>
      <c r="P387" s="14" t="s">
        <v>2621</v>
      </c>
      <c r="Q387">
        <v>1</v>
      </c>
      <c r="R387" s="20"/>
    </row>
    <row r="388" spans="1:18" ht="20.100000000000001" customHeight="1">
      <c r="A388" s="7">
        <v>383</v>
      </c>
      <c r="B388" s="8">
        <v>3204462002</v>
      </c>
      <c r="C388" s="9" t="s">
        <v>1581</v>
      </c>
      <c r="D388" s="10" t="s">
        <v>22</v>
      </c>
      <c r="E388" s="11" t="s">
        <v>1582</v>
      </c>
      <c r="F388" s="11" t="s">
        <v>1583</v>
      </c>
      <c r="G388" s="9" t="s">
        <v>1584</v>
      </c>
      <c r="H388" s="9" t="s">
        <v>138</v>
      </c>
      <c r="I388" s="9" t="s">
        <v>1515</v>
      </c>
      <c r="J388" s="9" t="s">
        <v>100</v>
      </c>
      <c r="K388" s="12" t="s">
        <v>19</v>
      </c>
      <c r="L388" s="13" t="s">
        <v>20</v>
      </c>
      <c r="M388" s="12" t="s">
        <v>2604</v>
      </c>
      <c r="N388" s="12" t="s">
        <v>2605</v>
      </c>
      <c r="O388" s="12" t="s">
        <v>195</v>
      </c>
      <c r="P388" s="14" t="s">
        <v>2621</v>
      </c>
      <c r="Q388">
        <v>1</v>
      </c>
      <c r="R388" s="20"/>
    </row>
    <row r="389" spans="1:18" ht="20.100000000000001" customHeight="1">
      <c r="A389" s="7">
        <v>384</v>
      </c>
      <c r="B389" s="8">
        <v>3204462002</v>
      </c>
      <c r="C389" s="9" t="s">
        <v>31</v>
      </c>
      <c r="D389" s="10" t="s">
        <v>22</v>
      </c>
      <c r="E389" s="11" t="s">
        <v>1585</v>
      </c>
      <c r="F389" s="11" t="s">
        <v>1586</v>
      </c>
      <c r="G389" s="9" t="s">
        <v>1584</v>
      </c>
      <c r="H389" s="9" t="s">
        <v>138</v>
      </c>
      <c r="I389" s="9" t="s">
        <v>1515</v>
      </c>
      <c r="J389" s="9" t="s">
        <v>100</v>
      </c>
      <c r="K389" s="12" t="s">
        <v>19</v>
      </c>
      <c r="L389" s="13" t="s">
        <v>20</v>
      </c>
      <c r="M389" s="12" t="s">
        <v>2604</v>
      </c>
      <c r="N389" s="12" t="s">
        <v>2605</v>
      </c>
      <c r="O389" s="12" t="s">
        <v>195</v>
      </c>
      <c r="P389" s="14" t="s">
        <v>2621</v>
      </c>
      <c r="Q389">
        <v>1</v>
      </c>
      <c r="R389" s="20"/>
    </row>
    <row r="390" spans="1:18" ht="20.100000000000001" customHeight="1">
      <c r="A390" s="7">
        <v>385</v>
      </c>
      <c r="B390" s="8">
        <v>3204462002</v>
      </c>
      <c r="C390" s="9" t="s">
        <v>182</v>
      </c>
      <c r="D390" s="10" t="s">
        <v>22</v>
      </c>
      <c r="E390" s="11" t="s">
        <v>1587</v>
      </c>
      <c r="F390" s="11" t="s">
        <v>1588</v>
      </c>
      <c r="G390" s="9" t="s">
        <v>1589</v>
      </c>
      <c r="H390" s="9" t="s">
        <v>138</v>
      </c>
      <c r="I390" s="9" t="s">
        <v>1515</v>
      </c>
      <c r="J390" s="9" t="s">
        <v>100</v>
      </c>
      <c r="K390" s="12" t="s">
        <v>19</v>
      </c>
      <c r="L390" s="13" t="s">
        <v>20</v>
      </c>
      <c r="M390" s="12" t="s">
        <v>2604</v>
      </c>
      <c r="N390" s="12" t="s">
        <v>2605</v>
      </c>
      <c r="O390" s="12" t="s">
        <v>195</v>
      </c>
      <c r="P390" s="14" t="s">
        <v>2621</v>
      </c>
      <c r="Q390">
        <v>1</v>
      </c>
      <c r="R390" s="20"/>
    </row>
    <row r="391" spans="1:18" ht="20.100000000000001" customHeight="1">
      <c r="A391" s="7">
        <v>386</v>
      </c>
      <c r="B391" s="8">
        <v>3204462002</v>
      </c>
      <c r="C391" s="9" t="s">
        <v>194</v>
      </c>
      <c r="D391" s="10" t="s">
        <v>22</v>
      </c>
      <c r="E391" s="11" t="s">
        <v>1590</v>
      </c>
      <c r="F391" s="11" t="s">
        <v>1591</v>
      </c>
      <c r="G391" s="9" t="s">
        <v>1589</v>
      </c>
      <c r="H391" s="9" t="s">
        <v>138</v>
      </c>
      <c r="I391" s="9" t="s">
        <v>1515</v>
      </c>
      <c r="J391" s="9" t="s">
        <v>100</v>
      </c>
      <c r="K391" s="12" t="s">
        <v>19</v>
      </c>
      <c r="L391" s="13" t="s">
        <v>20</v>
      </c>
      <c r="M391" s="12" t="s">
        <v>2604</v>
      </c>
      <c r="N391" s="12" t="s">
        <v>2605</v>
      </c>
      <c r="O391" s="12" t="s">
        <v>195</v>
      </c>
      <c r="P391" s="14" t="s">
        <v>2621</v>
      </c>
      <c r="Q391">
        <v>1</v>
      </c>
      <c r="R391" s="20"/>
    </row>
    <row r="392" spans="1:18" ht="20.100000000000001" customHeight="1">
      <c r="A392" s="7">
        <v>387</v>
      </c>
      <c r="B392" s="8">
        <v>3204462002</v>
      </c>
      <c r="C392" s="9" t="s">
        <v>1592</v>
      </c>
      <c r="D392" s="10" t="s">
        <v>22</v>
      </c>
      <c r="E392" s="11" t="s">
        <v>1593</v>
      </c>
      <c r="F392" s="11" t="s">
        <v>1594</v>
      </c>
      <c r="G392" s="9" t="s">
        <v>1595</v>
      </c>
      <c r="H392" s="9" t="s">
        <v>138</v>
      </c>
      <c r="I392" s="9" t="s">
        <v>1515</v>
      </c>
      <c r="J392" s="9" t="s">
        <v>100</v>
      </c>
      <c r="K392" s="12" t="s">
        <v>19</v>
      </c>
      <c r="L392" s="13" t="s">
        <v>20</v>
      </c>
      <c r="M392" s="12" t="s">
        <v>2604</v>
      </c>
      <c r="N392" s="12" t="s">
        <v>2605</v>
      </c>
      <c r="O392" s="12" t="s">
        <v>195</v>
      </c>
      <c r="P392" s="14" t="s">
        <v>2621</v>
      </c>
      <c r="Q392">
        <v>1</v>
      </c>
      <c r="R392" s="20"/>
    </row>
    <row r="393" spans="1:18" ht="20.100000000000001" customHeight="1">
      <c r="A393" s="7">
        <v>388</v>
      </c>
      <c r="B393" s="8">
        <v>3204462002</v>
      </c>
      <c r="C393" s="9" t="s">
        <v>172</v>
      </c>
      <c r="D393" s="10" t="s">
        <v>22</v>
      </c>
      <c r="E393" s="11" t="s">
        <v>1596</v>
      </c>
      <c r="F393" s="11" t="s">
        <v>1597</v>
      </c>
      <c r="G393" s="9" t="s">
        <v>1598</v>
      </c>
      <c r="H393" s="9" t="s">
        <v>138</v>
      </c>
      <c r="I393" s="9" t="s">
        <v>1515</v>
      </c>
      <c r="J393" s="9" t="s">
        <v>100</v>
      </c>
      <c r="K393" s="12" t="s">
        <v>19</v>
      </c>
      <c r="L393" s="13" t="s">
        <v>20</v>
      </c>
      <c r="M393" s="12" t="s">
        <v>2604</v>
      </c>
      <c r="N393" s="12" t="s">
        <v>2605</v>
      </c>
      <c r="O393" s="12" t="s">
        <v>195</v>
      </c>
      <c r="P393" s="14" t="s">
        <v>2621</v>
      </c>
      <c r="Q393">
        <v>1</v>
      </c>
      <c r="R393" s="20"/>
    </row>
    <row r="394" spans="1:18" ht="20.100000000000001" customHeight="1">
      <c r="A394" s="7">
        <v>389</v>
      </c>
      <c r="B394" s="8">
        <v>3204462002</v>
      </c>
      <c r="C394" s="9" t="s">
        <v>77</v>
      </c>
      <c r="D394" s="10" t="s">
        <v>22</v>
      </c>
      <c r="E394" s="11" t="s">
        <v>1599</v>
      </c>
      <c r="F394" s="11" t="s">
        <v>1600</v>
      </c>
      <c r="G394" s="9" t="s">
        <v>1601</v>
      </c>
      <c r="H394" s="9" t="s">
        <v>138</v>
      </c>
      <c r="I394" s="9" t="s">
        <v>1515</v>
      </c>
      <c r="J394" s="9" t="s">
        <v>100</v>
      </c>
      <c r="K394" s="12" t="s">
        <v>19</v>
      </c>
      <c r="L394" s="13" t="s">
        <v>20</v>
      </c>
      <c r="M394" s="12" t="s">
        <v>2604</v>
      </c>
      <c r="N394" s="12" t="s">
        <v>2605</v>
      </c>
      <c r="O394" s="12" t="s">
        <v>195</v>
      </c>
      <c r="P394" s="14" t="s">
        <v>2621</v>
      </c>
      <c r="Q394">
        <v>1</v>
      </c>
      <c r="R394" s="20"/>
    </row>
    <row r="395" spans="1:18" ht="20.100000000000001" customHeight="1">
      <c r="A395" s="7">
        <v>390</v>
      </c>
      <c r="B395" s="8">
        <v>3204462002</v>
      </c>
      <c r="C395" s="9" t="s">
        <v>1602</v>
      </c>
      <c r="D395" s="10" t="s">
        <v>22</v>
      </c>
      <c r="E395" s="11" t="s">
        <v>1603</v>
      </c>
      <c r="F395" s="11" t="s">
        <v>1604</v>
      </c>
      <c r="G395" s="9" t="s">
        <v>1598</v>
      </c>
      <c r="H395" s="9" t="s">
        <v>138</v>
      </c>
      <c r="I395" s="9" t="s">
        <v>1515</v>
      </c>
      <c r="J395" s="9" t="s">
        <v>100</v>
      </c>
      <c r="K395" s="12" t="s">
        <v>19</v>
      </c>
      <c r="L395" s="13" t="s">
        <v>20</v>
      </c>
      <c r="M395" s="12" t="s">
        <v>2604</v>
      </c>
      <c r="N395" s="12" t="s">
        <v>2605</v>
      </c>
      <c r="O395" s="12" t="s">
        <v>195</v>
      </c>
      <c r="P395" s="14" t="s">
        <v>2621</v>
      </c>
      <c r="Q395">
        <v>1</v>
      </c>
      <c r="R395" s="20"/>
    </row>
    <row r="396" spans="1:18" ht="20.100000000000001" customHeight="1">
      <c r="A396" s="7">
        <v>391</v>
      </c>
      <c r="B396" s="8">
        <v>3204462002</v>
      </c>
      <c r="C396" s="9" t="s">
        <v>1605</v>
      </c>
      <c r="D396" s="10" t="s">
        <v>22</v>
      </c>
      <c r="E396" s="11" t="s">
        <v>1606</v>
      </c>
      <c r="F396" s="11" t="s">
        <v>1607</v>
      </c>
      <c r="G396" s="9" t="s">
        <v>1584</v>
      </c>
      <c r="H396" s="9" t="s">
        <v>138</v>
      </c>
      <c r="I396" s="9" t="s">
        <v>1515</v>
      </c>
      <c r="J396" s="9" t="s">
        <v>100</v>
      </c>
      <c r="K396" s="12" t="s">
        <v>19</v>
      </c>
      <c r="L396" s="13" t="s">
        <v>20</v>
      </c>
      <c r="M396" s="12" t="s">
        <v>2604</v>
      </c>
      <c r="N396" s="12" t="s">
        <v>2605</v>
      </c>
      <c r="O396" s="12" t="s">
        <v>195</v>
      </c>
      <c r="P396" s="14" t="s">
        <v>2621</v>
      </c>
      <c r="Q396">
        <v>1</v>
      </c>
      <c r="R396" s="20"/>
    </row>
    <row r="397" spans="1:18" ht="20.100000000000001" customHeight="1">
      <c r="A397" s="7">
        <v>392</v>
      </c>
      <c r="B397" s="8">
        <v>3204462002</v>
      </c>
      <c r="C397" s="9" t="s">
        <v>1608</v>
      </c>
      <c r="D397" s="10" t="s">
        <v>22</v>
      </c>
      <c r="E397" s="11" t="s">
        <v>1609</v>
      </c>
      <c r="F397" s="11" t="s">
        <v>1610</v>
      </c>
      <c r="G397" s="9" t="s">
        <v>1611</v>
      </c>
      <c r="H397" s="9" t="s">
        <v>138</v>
      </c>
      <c r="I397" s="9" t="s">
        <v>1515</v>
      </c>
      <c r="J397" s="9" t="s">
        <v>100</v>
      </c>
      <c r="K397" s="12" t="s">
        <v>19</v>
      </c>
      <c r="L397" s="13" t="s">
        <v>20</v>
      </c>
      <c r="M397" s="12" t="s">
        <v>2604</v>
      </c>
      <c r="N397" s="12" t="s">
        <v>2605</v>
      </c>
      <c r="O397" s="12" t="s">
        <v>195</v>
      </c>
      <c r="P397" s="14" t="s">
        <v>2621</v>
      </c>
      <c r="Q397">
        <v>1</v>
      </c>
      <c r="R397" s="20"/>
    </row>
    <row r="398" spans="1:18" ht="20.100000000000001" customHeight="1">
      <c r="A398" s="7">
        <v>393</v>
      </c>
      <c r="B398" s="8">
        <v>3204462002</v>
      </c>
      <c r="C398" s="9" t="s">
        <v>1612</v>
      </c>
      <c r="D398" s="10" t="s">
        <v>22</v>
      </c>
      <c r="E398" s="11" t="s">
        <v>1613</v>
      </c>
      <c r="F398" s="11" t="s">
        <v>1614</v>
      </c>
      <c r="G398" s="9" t="s">
        <v>1584</v>
      </c>
      <c r="H398" s="9" t="s">
        <v>138</v>
      </c>
      <c r="I398" s="9" t="s">
        <v>1515</v>
      </c>
      <c r="J398" s="9" t="s">
        <v>100</v>
      </c>
      <c r="K398" s="12" t="s">
        <v>19</v>
      </c>
      <c r="L398" s="13" t="s">
        <v>20</v>
      </c>
      <c r="M398" s="12" t="s">
        <v>2604</v>
      </c>
      <c r="N398" s="12" t="s">
        <v>2605</v>
      </c>
      <c r="O398" s="12" t="s">
        <v>195</v>
      </c>
      <c r="P398" s="14" t="s">
        <v>2621</v>
      </c>
      <c r="Q398">
        <v>1</v>
      </c>
      <c r="R398" s="20"/>
    </row>
    <row r="399" spans="1:18" ht="20.100000000000001" customHeight="1">
      <c r="A399" s="7">
        <v>394</v>
      </c>
      <c r="B399" s="8">
        <v>3204462002</v>
      </c>
      <c r="C399" s="9" t="s">
        <v>1141</v>
      </c>
      <c r="D399" s="10" t="s">
        <v>22</v>
      </c>
      <c r="E399" s="11" t="s">
        <v>1615</v>
      </c>
      <c r="F399" s="11" t="s">
        <v>1616</v>
      </c>
      <c r="G399" s="9" t="s">
        <v>1617</v>
      </c>
      <c r="H399" s="9" t="s">
        <v>138</v>
      </c>
      <c r="I399" s="9" t="s">
        <v>1515</v>
      </c>
      <c r="J399" s="9" t="s">
        <v>100</v>
      </c>
      <c r="K399" s="12" t="s">
        <v>19</v>
      </c>
      <c r="L399" s="13" t="s">
        <v>20</v>
      </c>
      <c r="M399" s="12" t="s">
        <v>2604</v>
      </c>
      <c r="N399" s="12" t="s">
        <v>2605</v>
      </c>
      <c r="O399" s="12" t="s">
        <v>195</v>
      </c>
      <c r="P399" s="14" t="s">
        <v>2621</v>
      </c>
      <c r="Q399">
        <v>1</v>
      </c>
      <c r="R399" s="20"/>
    </row>
    <row r="400" spans="1:18" ht="20.100000000000001" customHeight="1">
      <c r="A400" s="7">
        <v>395</v>
      </c>
      <c r="B400" s="8">
        <v>3204462002</v>
      </c>
      <c r="C400" s="9" t="s">
        <v>1618</v>
      </c>
      <c r="D400" s="10" t="s">
        <v>22</v>
      </c>
      <c r="E400" s="11" t="s">
        <v>1619</v>
      </c>
      <c r="F400" s="11" t="s">
        <v>1620</v>
      </c>
      <c r="G400" s="9" t="s">
        <v>1621</v>
      </c>
      <c r="H400" s="9" t="s">
        <v>138</v>
      </c>
      <c r="I400" s="9" t="s">
        <v>1515</v>
      </c>
      <c r="J400" s="9" t="s">
        <v>100</v>
      </c>
      <c r="K400" s="12" t="s">
        <v>19</v>
      </c>
      <c r="L400" s="13" t="s">
        <v>20</v>
      </c>
      <c r="M400" s="12" t="s">
        <v>2604</v>
      </c>
      <c r="N400" s="12" t="s">
        <v>2605</v>
      </c>
      <c r="O400" s="12" t="s">
        <v>195</v>
      </c>
      <c r="P400" s="14" t="s">
        <v>2621</v>
      </c>
      <c r="Q400">
        <v>1</v>
      </c>
      <c r="R400" s="20"/>
    </row>
    <row r="401" spans="1:18" ht="20.100000000000001" customHeight="1">
      <c r="A401" s="7">
        <v>396</v>
      </c>
      <c r="B401" s="8">
        <v>3204462002</v>
      </c>
      <c r="C401" s="9" t="s">
        <v>1622</v>
      </c>
      <c r="D401" s="10" t="s">
        <v>22</v>
      </c>
      <c r="E401" s="11" t="s">
        <v>1623</v>
      </c>
      <c r="F401" s="11" t="s">
        <v>1624</v>
      </c>
      <c r="G401" s="9" t="s">
        <v>1621</v>
      </c>
      <c r="H401" s="9" t="s">
        <v>138</v>
      </c>
      <c r="I401" s="9" t="s">
        <v>1515</v>
      </c>
      <c r="J401" s="9" t="s">
        <v>100</v>
      </c>
      <c r="K401" s="12" t="s">
        <v>19</v>
      </c>
      <c r="L401" s="13" t="s">
        <v>20</v>
      </c>
      <c r="M401" s="12" t="s">
        <v>2604</v>
      </c>
      <c r="N401" s="12" t="s">
        <v>2605</v>
      </c>
      <c r="O401" s="12" t="s">
        <v>195</v>
      </c>
      <c r="P401" s="14" t="s">
        <v>2621</v>
      </c>
      <c r="Q401">
        <v>1</v>
      </c>
      <c r="R401" s="20"/>
    </row>
    <row r="402" spans="1:18" ht="20.100000000000001" customHeight="1">
      <c r="A402" s="7">
        <v>397</v>
      </c>
      <c r="B402" s="8">
        <v>3204332007</v>
      </c>
      <c r="C402" s="9" t="s">
        <v>1625</v>
      </c>
      <c r="D402" s="10" t="s">
        <v>22</v>
      </c>
      <c r="E402" s="11" t="s">
        <v>1626</v>
      </c>
      <c r="F402" s="11" t="s">
        <v>1627</v>
      </c>
      <c r="G402" s="9" t="s">
        <v>1628</v>
      </c>
      <c r="H402" s="9" t="s">
        <v>1629</v>
      </c>
      <c r="I402" s="9" t="s">
        <v>102</v>
      </c>
      <c r="J402" s="9" t="s">
        <v>100</v>
      </c>
      <c r="K402" s="12" t="s">
        <v>19</v>
      </c>
      <c r="L402" s="13" t="s">
        <v>20</v>
      </c>
      <c r="M402" s="12" t="s">
        <v>2604</v>
      </c>
      <c r="N402" s="12" t="s">
        <v>2605</v>
      </c>
      <c r="O402" s="12" t="s">
        <v>2606</v>
      </c>
      <c r="P402" s="14" t="s">
        <v>2607</v>
      </c>
      <c r="Q402">
        <v>1</v>
      </c>
      <c r="R402" s="20">
        <f>SUM(Q402:Q414,Q446)</f>
        <v>14</v>
      </c>
    </row>
    <row r="403" spans="1:18" ht="20.100000000000001" customHeight="1">
      <c r="A403" s="7">
        <v>398</v>
      </c>
      <c r="B403" s="8">
        <v>3204332007</v>
      </c>
      <c r="C403" s="9" t="s">
        <v>1630</v>
      </c>
      <c r="D403" s="10" t="s">
        <v>22</v>
      </c>
      <c r="E403" s="11" t="s">
        <v>1631</v>
      </c>
      <c r="F403" s="11" t="s">
        <v>1632</v>
      </c>
      <c r="G403" s="9" t="s">
        <v>1633</v>
      </c>
      <c r="H403" s="9" t="s">
        <v>1629</v>
      </c>
      <c r="I403" s="9" t="s">
        <v>102</v>
      </c>
      <c r="J403" s="9" t="s">
        <v>100</v>
      </c>
      <c r="K403" s="12" t="s">
        <v>19</v>
      </c>
      <c r="L403" s="13" t="s">
        <v>20</v>
      </c>
      <c r="M403" s="12" t="s">
        <v>2604</v>
      </c>
      <c r="N403" s="12" t="s">
        <v>2605</v>
      </c>
      <c r="O403" s="12" t="s">
        <v>2616</v>
      </c>
      <c r="P403" s="14" t="s">
        <v>2607</v>
      </c>
      <c r="Q403">
        <v>1</v>
      </c>
      <c r="R403" s="20"/>
    </row>
    <row r="404" spans="1:18" ht="20.100000000000001" customHeight="1">
      <c r="A404" s="7">
        <v>399</v>
      </c>
      <c r="B404" s="8">
        <v>3204332007</v>
      </c>
      <c r="C404" s="9" t="s">
        <v>1634</v>
      </c>
      <c r="D404" s="10" t="s">
        <v>22</v>
      </c>
      <c r="E404" s="11" t="s">
        <v>1635</v>
      </c>
      <c r="F404" s="11" t="s">
        <v>1636</v>
      </c>
      <c r="G404" s="9" t="s">
        <v>1637</v>
      </c>
      <c r="H404" s="9" t="s">
        <v>1629</v>
      </c>
      <c r="I404" s="9" t="s">
        <v>102</v>
      </c>
      <c r="J404" s="9" t="s">
        <v>100</v>
      </c>
      <c r="K404" s="12" t="s">
        <v>19</v>
      </c>
      <c r="L404" s="13" t="s">
        <v>20</v>
      </c>
      <c r="M404" s="12" t="s">
        <v>2604</v>
      </c>
      <c r="N404" s="12" t="s">
        <v>2605</v>
      </c>
      <c r="O404" s="12" t="s">
        <v>2616</v>
      </c>
      <c r="P404" s="14" t="s">
        <v>2607</v>
      </c>
      <c r="Q404">
        <v>1</v>
      </c>
      <c r="R404" s="20"/>
    </row>
    <row r="405" spans="1:18" ht="20.100000000000001" customHeight="1">
      <c r="A405" s="7">
        <v>400</v>
      </c>
      <c r="B405" s="8">
        <v>3204332007</v>
      </c>
      <c r="C405" s="9" t="s">
        <v>1638</v>
      </c>
      <c r="D405" s="10" t="s">
        <v>22</v>
      </c>
      <c r="E405" s="11" t="s">
        <v>1639</v>
      </c>
      <c r="F405" s="11" t="s">
        <v>1640</v>
      </c>
      <c r="G405" s="9" t="s">
        <v>1641</v>
      </c>
      <c r="H405" s="9" t="s">
        <v>1629</v>
      </c>
      <c r="I405" s="9" t="s">
        <v>102</v>
      </c>
      <c r="J405" s="9" t="s">
        <v>100</v>
      </c>
      <c r="K405" s="12" t="s">
        <v>19</v>
      </c>
      <c r="L405" s="13" t="s">
        <v>20</v>
      </c>
      <c r="M405" s="12" t="s">
        <v>2604</v>
      </c>
      <c r="N405" s="12" t="s">
        <v>2605</v>
      </c>
      <c r="O405" s="12" t="s">
        <v>2611</v>
      </c>
      <c r="P405" s="14" t="s">
        <v>2607</v>
      </c>
      <c r="Q405">
        <v>1</v>
      </c>
      <c r="R405" s="20"/>
    </row>
    <row r="406" spans="1:18" ht="20.100000000000001" customHeight="1">
      <c r="A406" s="7">
        <v>401</v>
      </c>
      <c r="B406" s="8">
        <v>3204332007</v>
      </c>
      <c r="C406" s="9" t="s">
        <v>1642</v>
      </c>
      <c r="D406" s="10" t="s">
        <v>22</v>
      </c>
      <c r="E406" s="11" t="s">
        <v>1643</v>
      </c>
      <c r="F406" s="11" t="s">
        <v>1644</v>
      </c>
      <c r="G406" s="9" t="s">
        <v>1645</v>
      </c>
      <c r="H406" s="9" t="s">
        <v>1629</v>
      </c>
      <c r="I406" s="9" t="s">
        <v>102</v>
      </c>
      <c r="J406" s="9" t="s">
        <v>100</v>
      </c>
      <c r="K406" s="12" t="s">
        <v>19</v>
      </c>
      <c r="L406" s="13" t="s">
        <v>20</v>
      </c>
      <c r="M406" s="12" t="s">
        <v>2604</v>
      </c>
      <c r="N406" s="12" t="s">
        <v>2605</v>
      </c>
      <c r="O406" s="12" t="s">
        <v>2616</v>
      </c>
      <c r="P406" s="14" t="s">
        <v>2607</v>
      </c>
      <c r="Q406">
        <v>1</v>
      </c>
      <c r="R406" s="20"/>
    </row>
    <row r="407" spans="1:18" ht="20.100000000000001" customHeight="1">
      <c r="A407" s="7">
        <v>402</v>
      </c>
      <c r="B407" s="8">
        <v>3204332007</v>
      </c>
      <c r="C407" s="9" t="s">
        <v>125</v>
      </c>
      <c r="D407" s="10" t="s">
        <v>22</v>
      </c>
      <c r="E407" s="11" t="s">
        <v>1646</v>
      </c>
      <c r="F407" s="11" t="s">
        <v>1647</v>
      </c>
      <c r="G407" s="9" t="s">
        <v>1648</v>
      </c>
      <c r="H407" s="9" t="s">
        <v>1629</v>
      </c>
      <c r="I407" s="9" t="s">
        <v>102</v>
      </c>
      <c r="J407" s="9" t="s">
        <v>100</v>
      </c>
      <c r="K407" s="12" t="s">
        <v>19</v>
      </c>
      <c r="L407" s="13" t="s">
        <v>20</v>
      </c>
      <c r="M407" s="12" t="s">
        <v>2604</v>
      </c>
      <c r="N407" s="12" t="s">
        <v>2605</v>
      </c>
      <c r="O407" s="12" t="s">
        <v>2622</v>
      </c>
      <c r="P407" s="14" t="s">
        <v>2607</v>
      </c>
      <c r="Q407">
        <v>1</v>
      </c>
      <c r="R407" s="20"/>
    </row>
    <row r="408" spans="1:18" ht="20.100000000000001" customHeight="1">
      <c r="A408" s="7">
        <v>403</v>
      </c>
      <c r="B408" s="8">
        <v>3204332007</v>
      </c>
      <c r="C408" s="9" t="s">
        <v>1649</v>
      </c>
      <c r="D408" s="10" t="s">
        <v>22</v>
      </c>
      <c r="E408" s="11" t="s">
        <v>1650</v>
      </c>
      <c r="F408" s="11" t="s">
        <v>1651</v>
      </c>
      <c r="G408" s="9" t="s">
        <v>1652</v>
      </c>
      <c r="H408" s="9" t="s">
        <v>1629</v>
      </c>
      <c r="I408" s="9" t="s">
        <v>102</v>
      </c>
      <c r="J408" s="9" t="s">
        <v>100</v>
      </c>
      <c r="K408" s="12" t="s">
        <v>19</v>
      </c>
      <c r="L408" s="13" t="s">
        <v>20</v>
      </c>
      <c r="M408" s="12" t="s">
        <v>2604</v>
      </c>
      <c r="N408" s="12" t="s">
        <v>2605</v>
      </c>
      <c r="O408" s="12" t="s">
        <v>2616</v>
      </c>
      <c r="P408" s="14" t="s">
        <v>2607</v>
      </c>
      <c r="Q408">
        <v>1</v>
      </c>
      <c r="R408" s="20"/>
    </row>
    <row r="409" spans="1:18" ht="20.100000000000001" customHeight="1">
      <c r="A409" s="7">
        <v>404</v>
      </c>
      <c r="B409" s="8">
        <v>3204332007</v>
      </c>
      <c r="C409" s="9" t="s">
        <v>1653</v>
      </c>
      <c r="D409" s="10" t="s">
        <v>22</v>
      </c>
      <c r="E409" s="11" t="s">
        <v>1654</v>
      </c>
      <c r="F409" s="11" t="s">
        <v>1655</v>
      </c>
      <c r="G409" s="9" t="s">
        <v>1637</v>
      </c>
      <c r="H409" s="9" t="s">
        <v>1629</v>
      </c>
      <c r="I409" s="9" t="s">
        <v>102</v>
      </c>
      <c r="J409" s="9" t="s">
        <v>100</v>
      </c>
      <c r="K409" s="12" t="s">
        <v>19</v>
      </c>
      <c r="L409" s="13" t="s">
        <v>20</v>
      </c>
      <c r="M409" s="12" t="s">
        <v>2604</v>
      </c>
      <c r="N409" s="12" t="s">
        <v>2605</v>
      </c>
      <c r="O409" s="12" t="s">
        <v>2627</v>
      </c>
      <c r="P409" s="14" t="s">
        <v>2610</v>
      </c>
      <c r="Q409">
        <v>1</v>
      </c>
      <c r="R409" s="20"/>
    </row>
    <row r="410" spans="1:18" ht="20.100000000000001" customHeight="1">
      <c r="A410" s="7">
        <v>405</v>
      </c>
      <c r="B410" s="8">
        <v>3204332007</v>
      </c>
      <c r="C410" s="9" t="s">
        <v>129</v>
      </c>
      <c r="D410" s="10" t="s">
        <v>18</v>
      </c>
      <c r="E410" s="11" t="s">
        <v>1656</v>
      </c>
      <c r="F410" s="11" t="s">
        <v>1657</v>
      </c>
      <c r="G410" s="9" t="s">
        <v>1658</v>
      </c>
      <c r="H410" s="9" t="s">
        <v>1629</v>
      </c>
      <c r="I410" s="9" t="s">
        <v>102</v>
      </c>
      <c r="J410" s="9" t="s">
        <v>100</v>
      </c>
      <c r="K410" s="12" t="s">
        <v>19</v>
      </c>
      <c r="L410" s="13" t="s">
        <v>20</v>
      </c>
      <c r="M410" s="12" t="s">
        <v>2604</v>
      </c>
      <c r="N410" s="12" t="s">
        <v>2605</v>
      </c>
      <c r="O410" s="12" t="s">
        <v>2616</v>
      </c>
      <c r="P410" s="14" t="s">
        <v>2607</v>
      </c>
      <c r="Q410">
        <v>1</v>
      </c>
      <c r="R410" s="20"/>
    </row>
    <row r="411" spans="1:18" ht="20.100000000000001" customHeight="1">
      <c r="A411" s="7">
        <v>406</v>
      </c>
      <c r="B411" s="8">
        <v>3204332007</v>
      </c>
      <c r="C411" s="9" t="s">
        <v>207</v>
      </c>
      <c r="D411" s="10" t="s">
        <v>22</v>
      </c>
      <c r="E411" s="11" t="s">
        <v>1659</v>
      </c>
      <c r="F411" s="11" t="s">
        <v>1660</v>
      </c>
      <c r="G411" s="9" t="s">
        <v>1661</v>
      </c>
      <c r="H411" s="9" t="s">
        <v>1629</v>
      </c>
      <c r="I411" s="9" t="s">
        <v>102</v>
      </c>
      <c r="J411" s="9" t="s">
        <v>100</v>
      </c>
      <c r="K411" s="12" t="s">
        <v>19</v>
      </c>
      <c r="L411" s="13" t="s">
        <v>20</v>
      </c>
      <c r="M411" s="12" t="s">
        <v>2604</v>
      </c>
      <c r="N411" s="12" t="s">
        <v>2605</v>
      </c>
      <c r="O411" s="12" t="s">
        <v>2619</v>
      </c>
      <c r="P411" s="14" t="s">
        <v>2610</v>
      </c>
      <c r="Q411">
        <v>1</v>
      </c>
      <c r="R411" s="20"/>
    </row>
    <row r="412" spans="1:18" ht="20.100000000000001" customHeight="1">
      <c r="A412" s="7">
        <v>407</v>
      </c>
      <c r="B412" s="8">
        <v>3204332007</v>
      </c>
      <c r="C412" s="9" t="s">
        <v>1662</v>
      </c>
      <c r="D412" s="10" t="s">
        <v>22</v>
      </c>
      <c r="E412" s="11" t="s">
        <v>1663</v>
      </c>
      <c r="F412" s="11" t="s">
        <v>1664</v>
      </c>
      <c r="G412" s="9" t="s">
        <v>1665</v>
      </c>
      <c r="H412" s="9" t="s">
        <v>1629</v>
      </c>
      <c r="I412" s="9" t="s">
        <v>102</v>
      </c>
      <c r="J412" s="9" t="s">
        <v>100</v>
      </c>
      <c r="K412" s="12" t="s">
        <v>19</v>
      </c>
      <c r="L412" s="13" t="s">
        <v>20</v>
      </c>
      <c r="M412" s="12" t="s">
        <v>2604</v>
      </c>
      <c r="N412" s="12" t="s">
        <v>2605</v>
      </c>
      <c r="O412" s="12" t="s">
        <v>2606</v>
      </c>
      <c r="P412" s="14" t="s">
        <v>2607</v>
      </c>
      <c r="Q412">
        <v>1</v>
      </c>
      <c r="R412" s="20"/>
    </row>
    <row r="413" spans="1:18" ht="20.100000000000001" customHeight="1">
      <c r="A413" s="7">
        <v>408</v>
      </c>
      <c r="B413" s="8">
        <v>3204332007</v>
      </c>
      <c r="C413" s="9" t="s">
        <v>1666</v>
      </c>
      <c r="D413" s="10" t="s">
        <v>22</v>
      </c>
      <c r="E413" s="11" t="s">
        <v>1667</v>
      </c>
      <c r="F413" s="11" t="s">
        <v>1668</v>
      </c>
      <c r="G413" s="9" t="s">
        <v>1652</v>
      </c>
      <c r="H413" s="9" t="s">
        <v>1629</v>
      </c>
      <c r="I413" s="9" t="s">
        <v>102</v>
      </c>
      <c r="J413" s="9" t="s">
        <v>100</v>
      </c>
      <c r="K413" s="12" t="s">
        <v>19</v>
      </c>
      <c r="L413" s="13" t="s">
        <v>20</v>
      </c>
      <c r="M413" s="12" t="s">
        <v>2604</v>
      </c>
      <c r="N413" s="12" t="s">
        <v>2605</v>
      </c>
      <c r="O413" s="12" t="s">
        <v>2616</v>
      </c>
      <c r="P413" s="14" t="s">
        <v>2607</v>
      </c>
      <c r="Q413">
        <v>1</v>
      </c>
      <c r="R413" s="20"/>
    </row>
    <row r="414" spans="1:18" ht="20.100000000000001" customHeight="1">
      <c r="A414" s="7">
        <v>409</v>
      </c>
      <c r="B414" s="8">
        <v>3204332007</v>
      </c>
      <c r="C414" s="9" t="s">
        <v>122</v>
      </c>
      <c r="D414" s="10" t="s">
        <v>22</v>
      </c>
      <c r="E414" s="11" t="s">
        <v>1669</v>
      </c>
      <c r="F414" s="11" t="s">
        <v>1670</v>
      </c>
      <c r="G414" s="9" t="s">
        <v>1665</v>
      </c>
      <c r="H414" s="9" t="s">
        <v>1629</v>
      </c>
      <c r="I414" s="9" t="s">
        <v>102</v>
      </c>
      <c r="J414" s="9" t="s">
        <v>100</v>
      </c>
      <c r="K414" s="12" t="s">
        <v>19</v>
      </c>
      <c r="L414" s="13" t="s">
        <v>20</v>
      </c>
      <c r="M414" s="12" t="s">
        <v>2604</v>
      </c>
      <c r="N414" s="12" t="s">
        <v>2605</v>
      </c>
      <c r="O414" s="12" t="s">
        <v>2616</v>
      </c>
      <c r="P414" s="14" t="s">
        <v>2607</v>
      </c>
      <c r="Q414">
        <v>1</v>
      </c>
      <c r="R414" s="20"/>
    </row>
    <row r="415" spans="1:18" ht="20.100000000000001" customHeight="1">
      <c r="A415" s="7">
        <v>410</v>
      </c>
      <c r="B415" s="8">
        <v>3204332006</v>
      </c>
      <c r="C415" s="9" t="s">
        <v>52</v>
      </c>
      <c r="D415" s="10" t="s">
        <v>22</v>
      </c>
      <c r="E415" s="11" t="s">
        <v>1671</v>
      </c>
      <c r="F415" s="11" t="s">
        <v>1672</v>
      </c>
      <c r="G415" s="9" t="s">
        <v>1673</v>
      </c>
      <c r="H415" s="9" t="s">
        <v>1674</v>
      </c>
      <c r="I415" s="9" t="s">
        <v>102</v>
      </c>
      <c r="J415" s="9" t="s">
        <v>100</v>
      </c>
      <c r="K415" s="12" t="s">
        <v>19</v>
      </c>
      <c r="L415" s="13" t="s">
        <v>20</v>
      </c>
      <c r="M415" s="12" t="s">
        <v>2604</v>
      </c>
      <c r="N415" s="12" t="s">
        <v>2605</v>
      </c>
      <c r="O415" s="12" t="s">
        <v>2611</v>
      </c>
      <c r="P415" s="14" t="s">
        <v>2607</v>
      </c>
      <c r="Q415">
        <v>1</v>
      </c>
      <c r="R415" s="20">
        <f>SUM(Q415:Q433)</f>
        <v>19</v>
      </c>
    </row>
    <row r="416" spans="1:18" ht="20.100000000000001" customHeight="1">
      <c r="A416" s="7">
        <v>411</v>
      </c>
      <c r="B416" s="8">
        <v>3204332006</v>
      </c>
      <c r="C416" s="9" t="s">
        <v>1675</v>
      </c>
      <c r="D416" s="10" t="s">
        <v>18</v>
      </c>
      <c r="E416" s="11" t="s">
        <v>1676</v>
      </c>
      <c r="F416" s="11" t="s">
        <v>1677</v>
      </c>
      <c r="G416" s="9" t="s">
        <v>1678</v>
      </c>
      <c r="H416" s="9" t="s">
        <v>1674</v>
      </c>
      <c r="I416" s="9" t="s">
        <v>102</v>
      </c>
      <c r="J416" s="9" t="s">
        <v>100</v>
      </c>
      <c r="K416" s="12" t="s">
        <v>19</v>
      </c>
      <c r="L416" s="13" t="s">
        <v>20</v>
      </c>
      <c r="M416" s="12" t="s">
        <v>2604</v>
      </c>
      <c r="N416" s="12" t="s">
        <v>2605</v>
      </c>
      <c r="O416" s="12" t="s">
        <v>2608</v>
      </c>
      <c r="P416" s="14" t="s">
        <v>2607</v>
      </c>
      <c r="Q416">
        <v>1</v>
      </c>
      <c r="R416" s="20"/>
    </row>
    <row r="417" spans="1:18" ht="20.100000000000001" customHeight="1">
      <c r="A417" s="7">
        <v>412</v>
      </c>
      <c r="B417" s="8">
        <v>3204332006</v>
      </c>
      <c r="C417" s="9" t="s">
        <v>1679</v>
      </c>
      <c r="D417" s="10" t="s">
        <v>22</v>
      </c>
      <c r="E417" s="11" t="s">
        <v>1680</v>
      </c>
      <c r="F417" s="11" t="s">
        <v>1681</v>
      </c>
      <c r="G417" s="9" t="s">
        <v>1682</v>
      </c>
      <c r="H417" s="9" t="s">
        <v>1674</v>
      </c>
      <c r="I417" s="9" t="s">
        <v>102</v>
      </c>
      <c r="J417" s="9" t="s">
        <v>100</v>
      </c>
      <c r="K417" s="12" t="s">
        <v>19</v>
      </c>
      <c r="L417" s="13" t="s">
        <v>20</v>
      </c>
      <c r="M417" s="12" t="s">
        <v>2604</v>
      </c>
      <c r="N417" s="12" t="s">
        <v>2605</v>
      </c>
      <c r="O417" s="12" t="s">
        <v>2616</v>
      </c>
      <c r="P417" s="14" t="s">
        <v>2607</v>
      </c>
      <c r="Q417">
        <v>1</v>
      </c>
      <c r="R417" s="20"/>
    </row>
    <row r="418" spans="1:18" ht="20.100000000000001" customHeight="1">
      <c r="A418" s="7">
        <v>413</v>
      </c>
      <c r="B418" s="8">
        <v>3204332006</v>
      </c>
      <c r="C418" s="9" t="s">
        <v>107</v>
      </c>
      <c r="D418" s="10" t="s">
        <v>18</v>
      </c>
      <c r="E418" s="11" t="s">
        <v>1683</v>
      </c>
      <c r="F418" s="11" t="s">
        <v>1684</v>
      </c>
      <c r="G418" s="9" t="s">
        <v>1685</v>
      </c>
      <c r="H418" s="9" t="s">
        <v>1674</v>
      </c>
      <c r="I418" s="9" t="s">
        <v>102</v>
      </c>
      <c r="J418" s="9" t="s">
        <v>100</v>
      </c>
      <c r="K418" s="12" t="s">
        <v>19</v>
      </c>
      <c r="L418" s="13" t="s">
        <v>20</v>
      </c>
      <c r="M418" s="12" t="s">
        <v>2604</v>
      </c>
      <c r="N418" s="12" t="s">
        <v>2605</v>
      </c>
      <c r="O418" s="12" t="s">
        <v>2606</v>
      </c>
      <c r="P418" s="14" t="s">
        <v>2607</v>
      </c>
      <c r="Q418">
        <v>1</v>
      </c>
      <c r="R418" s="20"/>
    </row>
    <row r="419" spans="1:18" ht="20.100000000000001" customHeight="1">
      <c r="A419" s="7">
        <v>414</v>
      </c>
      <c r="B419" s="8">
        <v>3204332006</v>
      </c>
      <c r="C419" s="9" t="s">
        <v>1686</v>
      </c>
      <c r="D419" s="10" t="s">
        <v>18</v>
      </c>
      <c r="E419" s="11" t="s">
        <v>1687</v>
      </c>
      <c r="F419" s="11" t="s">
        <v>1688</v>
      </c>
      <c r="G419" s="9" t="s">
        <v>1689</v>
      </c>
      <c r="H419" s="9" t="s">
        <v>1674</v>
      </c>
      <c r="I419" s="9" t="s">
        <v>102</v>
      </c>
      <c r="J419" s="9" t="s">
        <v>100</v>
      </c>
      <c r="K419" s="12" t="s">
        <v>19</v>
      </c>
      <c r="L419" s="13" t="s">
        <v>20</v>
      </c>
      <c r="M419" s="12" t="s">
        <v>2604</v>
      </c>
      <c r="N419" s="12" t="s">
        <v>2605</v>
      </c>
      <c r="O419" s="12" t="s">
        <v>195</v>
      </c>
      <c r="P419" s="14" t="s">
        <v>2621</v>
      </c>
      <c r="Q419">
        <v>1</v>
      </c>
      <c r="R419" s="20"/>
    </row>
    <row r="420" spans="1:18" ht="20.100000000000001" customHeight="1">
      <c r="A420" s="7">
        <v>415</v>
      </c>
      <c r="B420" s="8">
        <v>3204332006</v>
      </c>
      <c r="C420" s="9" t="s">
        <v>47</v>
      </c>
      <c r="D420" s="10" t="s">
        <v>22</v>
      </c>
      <c r="E420" s="11" t="s">
        <v>1690</v>
      </c>
      <c r="F420" s="11" t="s">
        <v>1691</v>
      </c>
      <c r="G420" s="9" t="s">
        <v>1692</v>
      </c>
      <c r="H420" s="9" t="s">
        <v>1674</v>
      </c>
      <c r="I420" s="9" t="s">
        <v>102</v>
      </c>
      <c r="J420" s="9" t="s">
        <v>100</v>
      </c>
      <c r="K420" s="12" t="s">
        <v>19</v>
      </c>
      <c r="L420" s="13" t="s">
        <v>20</v>
      </c>
      <c r="M420" s="12" t="s">
        <v>2604</v>
      </c>
      <c r="N420" s="12" t="s">
        <v>2605</v>
      </c>
      <c r="O420" s="12" t="s">
        <v>2608</v>
      </c>
      <c r="P420" s="14" t="s">
        <v>2607</v>
      </c>
      <c r="Q420">
        <v>1</v>
      </c>
      <c r="R420" s="20"/>
    </row>
    <row r="421" spans="1:18" ht="20.100000000000001" customHeight="1">
      <c r="A421" s="7">
        <v>416</v>
      </c>
      <c r="B421" s="8">
        <v>3204332006</v>
      </c>
      <c r="C421" s="9" t="s">
        <v>27</v>
      </c>
      <c r="D421" s="10" t="s">
        <v>18</v>
      </c>
      <c r="E421" s="11" t="s">
        <v>1693</v>
      </c>
      <c r="F421" s="11" t="s">
        <v>1694</v>
      </c>
      <c r="G421" s="9" t="s">
        <v>1695</v>
      </c>
      <c r="H421" s="9" t="s">
        <v>1674</v>
      </c>
      <c r="I421" s="9" t="s">
        <v>102</v>
      </c>
      <c r="J421" s="9" t="s">
        <v>100</v>
      </c>
      <c r="K421" s="12" t="s">
        <v>19</v>
      </c>
      <c r="L421" s="13" t="s">
        <v>20</v>
      </c>
      <c r="M421" s="12" t="s">
        <v>2604</v>
      </c>
      <c r="N421" s="12" t="s">
        <v>2605</v>
      </c>
      <c r="O421" s="12" t="s">
        <v>2608</v>
      </c>
      <c r="P421" s="14" t="s">
        <v>2607</v>
      </c>
      <c r="Q421">
        <v>1</v>
      </c>
      <c r="R421" s="20"/>
    </row>
    <row r="422" spans="1:18" ht="20.100000000000001" customHeight="1">
      <c r="A422" s="7">
        <v>417</v>
      </c>
      <c r="B422" s="8">
        <v>3204332006</v>
      </c>
      <c r="C422" s="9" t="s">
        <v>173</v>
      </c>
      <c r="D422" s="10" t="s">
        <v>18</v>
      </c>
      <c r="E422" s="11" t="s">
        <v>1696</v>
      </c>
      <c r="F422" s="11" t="s">
        <v>1697</v>
      </c>
      <c r="G422" s="9" t="s">
        <v>1698</v>
      </c>
      <c r="H422" s="9" t="s">
        <v>1674</v>
      </c>
      <c r="I422" s="9" t="s">
        <v>102</v>
      </c>
      <c r="J422" s="9" t="s">
        <v>100</v>
      </c>
      <c r="K422" s="12" t="s">
        <v>19</v>
      </c>
      <c r="L422" s="13" t="s">
        <v>20</v>
      </c>
      <c r="M422" s="12" t="s">
        <v>2604</v>
      </c>
      <c r="N422" s="12" t="s">
        <v>2605</v>
      </c>
      <c r="O422" s="12" t="s">
        <v>2606</v>
      </c>
      <c r="P422" s="14" t="s">
        <v>2607</v>
      </c>
      <c r="Q422">
        <v>1</v>
      </c>
      <c r="R422" s="20"/>
    </row>
    <row r="423" spans="1:18" ht="20.100000000000001" customHeight="1">
      <c r="A423" s="7">
        <v>418</v>
      </c>
      <c r="B423" s="8">
        <v>3204332006</v>
      </c>
      <c r="C423" s="9" t="s">
        <v>166</v>
      </c>
      <c r="D423" s="10" t="s">
        <v>22</v>
      </c>
      <c r="E423" s="11" t="s">
        <v>1699</v>
      </c>
      <c r="F423" s="11" t="s">
        <v>1700</v>
      </c>
      <c r="G423" s="9" t="s">
        <v>1695</v>
      </c>
      <c r="H423" s="9" t="s">
        <v>1674</v>
      </c>
      <c r="I423" s="9" t="s">
        <v>102</v>
      </c>
      <c r="J423" s="9" t="s">
        <v>100</v>
      </c>
      <c r="K423" s="12" t="s">
        <v>19</v>
      </c>
      <c r="L423" s="13" t="s">
        <v>20</v>
      </c>
      <c r="M423" s="12" t="s">
        <v>2604</v>
      </c>
      <c r="N423" s="12" t="s">
        <v>2605</v>
      </c>
      <c r="O423" s="12" t="s">
        <v>2616</v>
      </c>
      <c r="P423" s="14" t="s">
        <v>2607</v>
      </c>
      <c r="Q423">
        <v>1</v>
      </c>
      <c r="R423" s="20"/>
    </row>
    <row r="424" spans="1:18" ht="20.100000000000001" customHeight="1">
      <c r="A424" s="7">
        <v>419</v>
      </c>
      <c r="B424" s="8">
        <v>3204332006</v>
      </c>
      <c r="C424" s="9" t="s">
        <v>225</v>
      </c>
      <c r="D424" s="10" t="s">
        <v>18</v>
      </c>
      <c r="E424" s="11" t="s">
        <v>1701</v>
      </c>
      <c r="F424" s="11" t="s">
        <v>1702</v>
      </c>
      <c r="G424" s="9" t="s">
        <v>1703</v>
      </c>
      <c r="H424" s="9" t="s">
        <v>1674</v>
      </c>
      <c r="I424" s="9" t="s">
        <v>102</v>
      </c>
      <c r="J424" s="9" t="s">
        <v>100</v>
      </c>
      <c r="K424" s="12" t="s">
        <v>19</v>
      </c>
      <c r="L424" s="13" t="s">
        <v>20</v>
      </c>
      <c r="M424" s="12" t="s">
        <v>2604</v>
      </c>
      <c r="N424" s="12" t="s">
        <v>2605</v>
      </c>
      <c r="O424" s="12" t="s">
        <v>2608</v>
      </c>
      <c r="P424" s="14" t="s">
        <v>2607</v>
      </c>
      <c r="Q424">
        <v>1</v>
      </c>
      <c r="R424" s="20"/>
    </row>
    <row r="425" spans="1:18" ht="20.100000000000001" customHeight="1">
      <c r="A425" s="7">
        <v>420</v>
      </c>
      <c r="B425" s="8">
        <v>3204332006</v>
      </c>
      <c r="C425" s="9" t="s">
        <v>1704</v>
      </c>
      <c r="D425" s="10" t="s">
        <v>22</v>
      </c>
      <c r="E425" s="11" t="s">
        <v>1705</v>
      </c>
      <c r="F425" s="11" t="s">
        <v>1706</v>
      </c>
      <c r="G425" s="9" t="s">
        <v>1707</v>
      </c>
      <c r="H425" s="9" t="s">
        <v>1674</v>
      </c>
      <c r="I425" s="9" t="s">
        <v>102</v>
      </c>
      <c r="J425" s="9" t="s">
        <v>100</v>
      </c>
      <c r="K425" s="12" t="s">
        <v>19</v>
      </c>
      <c r="L425" s="13" t="s">
        <v>20</v>
      </c>
      <c r="M425" s="12" t="s">
        <v>2604</v>
      </c>
      <c r="N425" s="12" t="s">
        <v>2605</v>
      </c>
      <c r="O425" s="12" t="s">
        <v>2608</v>
      </c>
      <c r="P425" s="14" t="s">
        <v>2607</v>
      </c>
      <c r="Q425">
        <v>1</v>
      </c>
      <c r="R425" s="20"/>
    </row>
    <row r="426" spans="1:18" ht="20.100000000000001" customHeight="1">
      <c r="A426" s="7">
        <v>421</v>
      </c>
      <c r="B426" s="8">
        <v>3204332006</v>
      </c>
      <c r="C426" s="9" t="s">
        <v>39</v>
      </c>
      <c r="D426" s="10" t="s">
        <v>18</v>
      </c>
      <c r="E426" s="11" t="s">
        <v>1708</v>
      </c>
      <c r="F426" s="11" t="s">
        <v>1709</v>
      </c>
      <c r="G426" s="9" t="s">
        <v>1707</v>
      </c>
      <c r="H426" s="9" t="s">
        <v>1674</v>
      </c>
      <c r="I426" s="9" t="s">
        <v>102</v>
      </c>
      <c r="J426" s="9" t="s">
        <v>100</v>
      </c>
      <c r="K426" s="12" t="s">
        <v>19</v>
      </c>
      <c r="L426" s="13" t="s">
        <v>20</v>
      </c>
      <c r="M426" s="12" t="s">
        <v>2604</v>
      </c>
      <c r="N426" s="12" t="s">
        <v>2605</v>
      </c>
      <c r="O426" s="12" t="s">
        <v>2616</v>
      </c>
      <c r="P426" s="14" t="s">
        <v>2607</v>
      </c>
      <c r="Q426">
        <v>1</v>
      </c>
      <c r="R426" s="20"/>
    </row>
    <row r="427" spans="1:18" ht="20.100000000000001" customHeight="1">
      <c r="A427" s="7">
        <v>422</v>
      </c>
      <c r="B427" s="8">
        <v>3204332006</v>
      </c>
      <c r="C427" s="9" t="s">
        <v>1710</v>
      </c>
      <c r="D427" s="10" t="s">
        <v>22</v>
      </c>
      <c r="E427" s="11" t="s">
        <v>1711</v>
      </c>
      <c r="F427" s="11" t="s">
        <v>1712</v>
      </c>
      <c r="G427" s="9" t="s">
        <v>1713</v>
      </c>
      <c r="H427" s="9" t="s">
        <v>1674</v>
      </c>
      <c r="I427" s="9" t="s">
        <v>102</v>
      </c>
      <c r="J427" s="9" t="s">
        <v>100</v>
      </c>
      <c r="K427" s="12" t="s">
        <v>19</v>
      </c>
      <c r="L427" s="13" t="s">
        <v>20</v>
      </c>
      <c r="M427" s="12" t="s">
        <v>2604</v>
      </c>
      <c r="N427" s="12" t="s">
        <v>2605</v>
      </c>
      <c r="O427" s="12" t="s">
        <v>2619</v>
      </c>
      <c r="P427" s="14" t="s">
        <v>2610</v>
      </c>
      <c r="Q427">
        <v>1</v>
      </c>
      <c r="R427" s="20"/>
    </row>
    <row r="428" spans="1:18" ht="20.100000000000001" customHeight="1">
      <c r="A428" s="7">
        <v>423</v>
      </c>
      <c r="B428" s="8">
        <v>3204332006</v>
      </c>
      <c r="C428" s="9" t="s">
        <v>71</v>
      </c>
      <c r="D428" s="10" t="s">
        <v>22</v>
      </c>
      <c r="E428" s="11" t="s">
        <v>1714</v>
      </c>
      <c r="F428" s="11" t="s">
        <v>1715</v>
      </c>
      <c r="G428" s="9" t="s">
        <v>1716</v>
      </c>
      <c r="H428" s="9" t="s">
        <v>1674</v>
      </c>
      <c r="I428" s="9" t="s">
        <v>102</v>
      </c>
      <c r="J428" s="9" t="s">
        <v>100</v>
      </c>
      <c r="K428" s="12" t="s">
        <v>19</v>
      </c>
      <c r="L428" s="13" t="s">
        <v>20</v>
      </c>
      <c r="M428" s="12" t="s">
        <v>2604</v>
      </c>
      <c r="N428" s="12" t="s">
        <v>2605</v>
      </c>
      <c r="O428" s="12" t="s">
        <v>2626</v>
      </c>
      <c r="P428" s="14" t="s">
        <v>2610</v>
      </c>
      <c r="Q428">
        <v>1</v>
      </c>
      <c r="R428" s="20"/>
    </row>
    <row r="429" spans="1:18" ht="20.100000000000001" customHeight="1">
      <c r="A429" s="7">
        <v>424</v>
      </c>
      <c r="B429" s="8">
        <v>3204332006</v>
      </c>
      <c r="C429" s="9" t="s">
        <v>25</v>
      </c>
      <c r="D429" s="10" t="s">
        <v>22</v>
      </c>
      <c r="E429" s="11" t="s">
        <v>1717</v>
      </c>
      <c r="F429" s="11" t="s">
        <v>1718</v>
      </c>
      <c r="G429" s="9" t="s">
        <v>1716</v>
      </c>
      <c r="H429" s="9" t="s">
        <v>1674</v>
      </c>
      <c r="I429" s="9" t="s">
        <v>102</v>
      </c>
      <c r="J429" s="9" t="s">
        <v>100</v>
      </c>
      <c r="K429" s="12" t="s">
        <v>19</v>
      </c>
      <c r="L429" s="13" t="s">
        <v>20</v>
      </c>
      <c r="M429" s="12" t="s">
        <v>2604</v>
      </c>
      <c r="N429" s="12" t="s">
        <v>2605</v>
      </c>
      <c r="O429" s="12" t="s">
        <v>2622</v>
      </c>
      <c r="P429" s="14" t="s">
        <v>2607</v>
      </c>
      <c r="Q429">
        <v>1</v>
      </c>
      <c r="R429" s="20"/>
    </row>
    <row r="430" spans="1:18" ht="20.100000000000001" customHeight="1">
      <c r="A430" s="7">
        <v>425</v>
      </c>
      <c r="B430" s="8">
        <v>3204332006</v>
      </c>
      <c r="C430" s="9" t="s">
        <v>1719</v>
      </c>
      <c r="D430" s="10" t="s">
        <v>22</v>
      </c>
      <c r="E430" s="11" t="s">
        <v>1720</v>
      </c>
      <c r="F430" s="11" t="s">
        <v>1721</v>
      </c>
      <c r="G430" s="9" t="s">
        <v>1722</v>
      </c>
      <c r="H430" s="9" t="s">
        <v>1674</v>
      </c>
      <c r="I430" s="9" t="s">
        <v>102</v>
      </c>
      <c r="J430" s="9" t="s">
        <v>100</v>
      </c>
      <c r="K430" s="12" t="s">
        <v>19</v>
      </c>
      <c r="L430" s="13" t="s">
        <v>20</v>
      </c>
      <c r="M430" s="12" t="s">
        <v>2604</v>
      </c>
      <c r="N430" s="12" t="s">
        <v>2605</v>
      </c>
      <c r="O430" s="12" t="s">
        <v>2608</v>
      </c>
      <c r="P430" s="14" t="s">
        <v>2607</v>
      </c>
      <c r="Q430">
        <v>1</v>
      </c>
      <c r="R430" s="20"/>
    </row>
    <row r="431" spans="1:18" ht="20.100000000000001" customHeight="1">
      <c r="A431" s="7">
        <v>426</v>
      </c>
      <c r="B431" s="8">
        <v>3204332006</v>
      </c>
      <c r="C431" s="9" t="s">
        <v>1723</v>
      </c>
      <c r="D431" s="10" t="s">
        <v>18</v>
      </c>
      <c r="E431" s="11" t="s">
        <v>1724</v>
      </c>
      <c r="F431" s="11" t="s">
        <v>1725</v>
      </c>
      <c r="G431" s="9" t="s">
        <v>1726</v>
      </c>
      <c r="H431" s="9" t="s">
        <v>1674</v>
      </c>
      <c r="I431" s="9" t="s">
        <v>102</v>
      </c>
      <c r="J431" s="9" t="s">
        <v>100</v>
      </c>
      <c r="K431" s="12" t="s">
        <v>19</v>
      </c>
      <c r="L431" s="13" t="s">
        <v>20</v>
      </c>
      <c r="M431" s="12" t="s">
        <v>2604</v>
      </c>
      <c r="N431" s="12" t="s">
        <v>2605</v>
      </c>
      <c r="O431" s="12" t="s">
        <v>2620</v>
      </c>
      <c r="P431" s="14" t="s">
        <v>2615</v>
      </c>
      <c r="Q431">
        <v>1</v>
      </c>
      <c r="R431" s="20"/>
    </row>
    <row r="432" spans="1:18" ht="20.100000000000001" customHeight="1">
      <c r="A432" s="7">
        <v>427</v>
      </c>
      <c r="B432" s="8">
        <v>3204332006</v>
      </c>
      <c r="C432" s="9" t="s">
        <v>1727</v>
      </c>
      <c r="D432" s="10" t="s">
        <v>22</v>
      </c>
      <c r="E432" s="11" t="s">
        <v>1728</v>
      </c>
      <c r="F432" s="11" t="s">
        <v>1729</v>
      </c>
      <c r="G432" s="9" t="s">
        <v>1722</v>
      </c>
      <c r="H432" s="9" t="s">
        <v>1674</v>
      </c>
      <c r="I432" s="9" t="s">
        <v>102</v>
      </c>
      <c r="J432" s="9" t="s">
        <v>100</v>
      </c>
      <c r="K432" s="12" t="s">
        <v>19</v>
      </c>
      <c r="L432" s="13" t="s">
        <v>20</v>
      </c>
      <c r="M432" s="12" t="s">
        <v>2604</v>
      </c>
      <c r="N432" s="12" t="s">
        <v>2605</v>
      </c>
      <c r="O432" s="12" t="s">
        <v>195</v>
      </c>
      <c r="P432" s="14" t="s">
        <v>2621</v>
      </c>
      <c r="Q432">
        <v>1</v>
      </c>
      <c r="R432" s="20"/>
    </row>
    <row r="433" spans="1:18" ht="20.100000000000001" customHeight="1">
      <c r="A433" s="7">
        <v>428</v>
      </c>
      <c r="B433" s="8">
        <v>3204332006</v>
      </c>
      <c r="C433" s="9" t="s">
        <v>1730</v>
      </c>
      <c r="D433" s="10" t="s">
        <v>22</v>
      </c>
      <c r="E433" s="11" t="s">
        <v>1731</v>
      </c>
      <c r="F433" s="11" t="s">
        <v>1732</v>
      </c>
      <c r="G433" s="9" t="s">
        <v>1733</v>
      </c>
      <c r="H433" s="9" t="s">
        <v>1674</v>
      </c>
      <c r="I433" s="9" t="s">
        <v>102</v>
      </c>
      <c r="J433" s="9" t="s">
        <v>100</v>
      </c>
      <c r="K433" s="12" t="s">
        <v>19</v>
      </c>
      <c r="L433" s="13" t="s">
        <v>20</v>
      </c>
      <c r="M433" s="12" t="s">
        <v>2604</v>
      </c>
      <c r="N433" s="12" t="s">
        <v>2605</v>
      </c>
      <c r="O433" s="12" t="s">
        <v>2608</v>
      </c>
      <c r="P433" s="14" t="s">
        <v>2607</v>
      </c>
      <c r="Q433">
        <v>1</v>
      </c>
      <c r="R433" s="20"/>
    </row>
    <row r="434" spans="1:18" ht="20.100000000000001" customHeight="1">
      <c r="A434" s="7">
        <v>429</v>
      </c>
      <c r="B434" s="8">
        <v>3204332008</v>
      </c>
      <c r="C434" s="9" t="s">
        <v>1734</v>
      </c>
      <c r="D434" s="10" t="s">
        <v>18</v>
      </c>
      <c r="E434" s="11" t="s">
        <v>1735</v>
      </c>
      <c r="F434" s="11" t="s">
        <v>1736</v>
      </c>
      <c r="G434" s="9" t="s">
        <v>1737</v>
      </c>
      <c r="H434" s="9" t="s">
        <v>56</v>
      </c>
      <c r="I434" s="9" t="s">
        <v>102</v>
      </c>
      <c r="J434" s="9" t="s">
        <v>100</v>
      </c>
      <c r="K434" s="12" t="s">
        <v>19</v>
      </c>
      <c r="L434" s="13" t="s">
        <v>20</v>
      </c>
      <c r="M434" s="12" t="s">
        <v>2604</v>
      </c>
      <c r="N434" s="12" t="s">
        <v>2605</v>
      </c>
      <c r="O434" s="12" t="s">
        <v>2611</v>
      </c>
      <c r="P434" s="14" t="s">
        <v>2607</v>
      </c>
      <c r="Q434">
        <v>1</v>
      </c>
      <c r="R434" s="20">
        <f>SUM(Q434:Q445)</f>
        <v>12</v>
      </c>
    </row>
    <row r="435" spans="1:18" ht="20.100000000000001" customHeight="1">
      <c r="A435" s="7">
        <v>430</v>
      </c>
      <c r="B435" s="8">
        <v>3204332008</v>
      </c>
      <c r="C435" s="9" t="s">
        <v>1738</v>
      </c>
      <c r="D435" s="10" t="s">
        <v>18</v>
      </c>
      <c r="E435" s="11" t="s">
        <v>1739</v>
      </c>
      <c r="F435" s="11" t="s">
        <v>1740</v>
      </c>
      <c r="G435" s="9" t="s">
        <v>1741</v>
      </c>
      <c r="H435" s="9" t="s">
        <v>56</v>
      </c>
      <c r="I435" s="9" t="s">
        <v>102</v>
      </c>
      <c r="J435" s="9" t="s">
        <v>100</v>
      </c>
      <c r="K435" s="12" t="s">
        <v>19</v>
      </c>
      <c r="L435" s="13" t="s">
        <v>20</v>
      </c>
      <c r="M435" s="12" t="s">
        <v>2604</v>
      </c>
      <c r="N435" s="12" t="s">
        <v>2605</v>
      </c>
      <c r="O435" s="12" t="s">
        <v>195</v>
      </c>
      <c r="P435" s="14" t="s">
        <v>2621</v>
      </c>
      <c r="Q435">
        <v>1</v>
      </c>
      <c r="R435" s="20"/>
    </row>
    <row r="436" spans="1:18" ht="20.100000000000001" customHeight="1">
      <c r="A436" s="7">
        <v>431</v>
      </c>
      <c r="B436" s="8">
        <v>3204332008</v>
      </c>
      <c r="C436" s="9" t="s">
        <v>128</v>
      </c>
      <c r="D436" s="10" t="s">
        <v>18</v>
      </c>
      <c r="E436" s="11" t="s">
        <v>1742</v>
      </c>
      <c r="F436" s="11" t="s">
        <v>1743</v>
      </c>
      <c r="G436" s="9" t="s">
        <v>1744</v>
      </c>
      <c r="H436" s="9" t="s">
        <v>56</v>
      </c>
      <c r="I436" s="9" t="s">
        <v>102</v>
      </c>
      <c r="J436" s="9" t="s">
        <v>100</v>
      </c>
      <c r="K436" s="12" t="s">
        <v>19</v>
      </c>
      <c r="L436" s="13" t="s">
        <v>20</v>
      </c>
      <c r="M436" s="12" t="s">
        <v>2604</v>
      </c>
      <c r="N436" s="12" t="s">
        <v>2605</v>
      </c>
      <c r="O436" s="12" t="s">
        <v>2616</v>
      </c>
      <c r="P436" s="14" t="s">
        <v>2607</v>
      </c>
      <c r="Q436">
        <v>1</v>
      </c>
      <c r="R436" s="20"/>
    </row>
    <row r="437" spans="1:18" ht="20.100000000000001" customHeight="1">
      <c r="A437" s="7">
        <v>432</v>
      </c>
      <c r="B437" s="8">
        <v>3204332008</v>
      </c>
      <c r="C437" s="9" t="s">
        <v>1745</v>
      </c>
      <c r="D437" s="10" t="s">
        <v>18</v>
      </c>
      <c r="E437" s="11" t="s">
        <v>1746</v>
      </c>
      <c r="F437" s="11" t="s">
        <v>1747</v>
      </c>
      <c r="G437" s="9" t="s">
        <v>1748</v>
      </c>
      <c r="H437" s="9" t="s">
        <v>56</v>
      </c>
      <c r="I437" s="9" t="s">
        <v>102</v>
      </c>
      <c r="J437" s="9" t="s">
        <v>100</v>
      </c>
      <c r="K437" s="12" t="s">
        <v>19</v>
      </c>
      <c r="L437" s="13" t="s">
        <v>20</v>
      </c>
      <c r="M437" s="12" t="s">
        <v>2604</v>
      </c>
      <c r="N437" s="12" t="s">
        <v>2605</v>
      </c>
      <c r="O437" s="12" t="s">
        <v>2627</v>
      </c>
      <c r="P437" s="14" t="s">
        <v>2610</v>
      </c>
      <c r="Q437">
        <v>1</v>
      </c>
      <c r="R437" s="20"/>
    </row>
    <row r="438" spans="1:18" ht="20.100000000000001" customHeight="1">
      <c r="A438" s="7">
        <v>433</v>
      </c>
      <c r="B438" s="8">
        <v>3204332008</v>
      </c>
      <c r="C438" s="9" t="s">
        <v>154</v>
      </c>
      <c r="D438" s="10" t="s">
        <v>18</v>
      </c>
      <c r="E438" s="11" t="s">
        <v>1749</v>
      </c>
      <c r="F438" s="11" t="s">
        <v>1750</v>
      </c>
      <c r="G438" s="9" t="s">
        <v>1741</v>
      </c>
      <c r="H438" s="9" t="s">
        <v>56</v>
      </c>
      <c r="I438" s="9" t="s">
        <v>102</v>
      </c>
      <c r="J438" s="9" t="s">
        <v>100</v>
      </c>
      <c r="K438" s="12" t="s">
        <v>19</v>
      </c>
      <c r="L438" s="13" t="s">
        <v>20</v>
      </c>
      <c r="M438" s="12" t="s">
        <v>2604</v>
      </c>
      <c r="N438" s="12" t="s">
        <v>2605</v>
      </c>
      <c r="O438" s="12" t="s">
        <v>195</v>
      </c>
      <c r="P438" s="14" t="s">
        <v>2621</v>
      </c>
      <c r="Q438">
        <v>1</v>
      </c>
      <c r="R438" s="20"/>
    </row>
    <row r="439" spans="1:18" ht="20.100000000000001" customHeight="1">
      <c r="A439" s="7">
        <v>434</v>
      </c>
      <c r="B439" s="8">
        <v>3204332008</v>
      </c>
      <c r="C439" s="9" t="s">
        <v>179</v>
      </c>
      <c r="D439" s="10" t="s">
        <v>18</v>
      </c>
      <c r="E439" s="11" t="s">
        <v>1751</v>
      </c>
      <c r="F439" s="11" t="s">
        <v>1752</v>
      </c>
      <c r="G439" s="9" t="s">
        <v>1753</v>
      </c>
      <c r="H439" s="9" t="s">
        <v>56</v>
      </c>
      <c r="I439" s="9" t="s">
        <v>102</v>
      </c>
      <c r="J439" s="9" t="s">
        <v>100</v>
      </c>
      <c r="K439" s="12" t="s">
        <v>19</v>
      </c>
      <c r="L439" s="13" t="s">
        <v>20</v>
      </c>
      <c r="M439" s="12" t="s">
        <v>2604</v>
      </c>
      <c r="N439" s="12" t="s">
        <v>2605</v>
      </c>
      <c r="O439" s="12" t="s">
        <v>2611</v>
      </c>
      <c r="P439" s="14" t="s">
        <v>2607</v>
      </c>
      <c r="Q439">
        <v>1</v>
      </c>
      <c r="R439" s="20"/>
    </row>
    <row r="440" spans="1:18" ht="20.100000000000001" customHeight="1">
      <c r="A440" s="7">
        <v>435</v>
      </c>
      <c r="B440" s="8">
        <v>3204332008</v>
      </c>
      <c r="C440" s="9" t="s">
        <v>1754</v>
      </c>
      <c r="D440" s="10" t="s">
        <v>22</v>
      </c>
      <c r="E440" s="11" t="s">
        <v>1755</v>
      </c>
      <c r="F440" s="11" t="s">
        <v>1756</v>
      </c>
      <c r="G440" s="9" t="s">
        <v>1753</v>
      </c>
      <c r="H440" s="9" t="s">
        <v>56</v>
      </c>
      <c r="I440" s="9" t="s">
        <v>102</v>
      </c>
      <c r="J440" s="9" t="s">
        <v>100</v>
      </c>
      <c r="K440" s="12" t="s">
        <v>19</v>
      </c>
      <c r="L440" s="13" t="s">
        <v>20</v>
      </c>
      <c r="M440" s="12" t="s">
        <v>2604</v>
      </c>
      <c r="N440" s="12" t="s">
        <v>2605</v>
      </c>
      <c r="O440" s="12" t="s">
        <v>2616</v>
      </c>
      <c r="P440" s="14" t="s">
        <v>2607</v>
      </c>
      <c r="Q440">
        <v>1</v>
      </c>
      <c r="R440" s="20"/>
    </row>
    <row r="441" spans="1:18" ht="20.100000000000001" customHeight="1">
      <c r="A441" s="7">
        <v>436</v>
      </c>
      <c r="B441" s="8">
        <v>3204332008</v>
      </c>
      <c r="C441" s="9" t="s">
        <v>55</v>
      </c>
      <c r="D441" s="10" t="s">
        <v>18</v>
      </c>
      <c r="E441" s="11" t="s">
        <v>1757</v>
      </c>
      <c r="F441" s="11" t="s">
        <v>1758</v>
      </c>
      <c r="G441" s="9" t="s">
        <v>1759</v>
      </c>
      <c r="H441" s="9" t="s">
        <v>56</v>
      </c>
      <c r="I441" s="9" t="s">
        <v>102</v>
      </c>
      <c r="J441" s="9" t="s">
        <v>100</v>
      </c>
      <c r="K441" s="12" t="s">
        <v>19</v>
      </c>
      <c r="L441" s="13" t="s">
        <v>20</v>
      </c>
      <c r="M441" s="12" t="s">
        <v>2604</v>
      </c>
      <c r="N441" s="12" t="s">
        <v>2605</v>
      </c>
      <c r="O441" s="12" t="s">
        <v>2609</v>
      </c>
      <c r="P441" s="14" t="s">
        <v>2610</v>
      </c>
      <c r="Q441">
        <v>1</v>
      </c>
      <c r="R441" s="20"/>
    </row>
    <row r="442" spans="1:18" ht="20.100000000000001" customHeight="1">
      <c r="A442" s="7">
        <v>437</v>
      </c>
      <c r="B442" s="8">
        <v>3204332008</v>
      </c>
      <c r="C442" s="9" t="s">
        <v>1760</v>
      </c>
      <c r="D442" s="10" t="s">
        <v>18</v>
      </c>
      <c r="E442" s="11" t="s">
        <v>1761</v>
      </c>
      <c r="F442" s="11" t="s">
        <v>1762</v>
      </c>
      <c r="G442" s="9" t="s">
        <v>1763</v>
      </c>
      <c r="H442" s="9" t="s">
        <v>56</v>
      </c>
      <c r="I442" s="9" t="s">
        <v>102</v>
      </c>
      <c r="J442" s="9" t="s">
        <v>100</v>
      </c>
      <c r="K442" s="12" t="s">
        <v>19</v>
      </c>
      <c r="L442" s="13" t="s">
        <v>20</v>
      </c>
      <c r="M442" s="12" t="s">
        <v>2604</v>
      </c>
      <c r="N442" s="12" t="s">
        <v>2605</v>
      </c>
      <c r="O442" s="12" t="s">
        <v>2620</v>
      </c>
      <c r="P442" s="14" t="s">
        <v>2615</v>
      </c>
      <c r="Q442">
        <v>1</v>
      </c>
      <c r="R442" s="20"/>
    </row>
    <row r="443" spans="1:18" ht="20.100000000000001" customHeight="1">
      <c r="A443" s="7">
        <v>438</v>
      </c>
      <c r="B443" s="8">
        <v>3204332008</v>
      </c>
      <c r="C443" s="9" t="s">
        <v>209</v>
      </c>
      <c r="D443" s="10" t="s">
        <v>18</v>
      </c>
      <c r="E443" s="11" t="s">
        <v>1764</v>
      </c>
      <c r="F443" s="11" t="s">
        <v>1765</v>
      </c>
      <c r="G443" s="9" t="s">
        <v>1766</v>
      </c>
      <c r="H443" s="9" t="s">
        <v>56</v>
      </c>
      <c r="I443" s="9" t="s">
        <v>102</v>
      </c>
      <c r="J443" s="9" t="s">
        <v>100</v>
      </c>
      <c r="K443" s="12" t="s">
        <v>19</v>
      </c>
      <c r="L443" s="13" t="s">
        <v>20</v>
      </c>
      <c r="M443" s="12" t="s">
        <v>2604</v>
      </c>
      <c r="N443" s="12" t="s">
        <v>2605</v>
      </c>
      <c r="O443" s="12" t="s">
        <v>2609</v>
      </c>
      <c r="P443" s="14" t="s">
        <v>2610</v>
      </c>
      <c r="Q443">
        <v>1</v>
      </c>
      <c r="R443" s="20"/>
    </row>
    <row r="444" spans="1:18" ht="20.100000000000001" customHeight="1">
      <c r="A444" s="7">
        <v>439</v>
      </c>
      <c r="B444" s="8">
        <v>3204332008</v>
      </c>
      <c r="C444" s="9" t="s">
        <v>1767</v>
      </c>
      <c r="D444" s="10" t="s">
        <v>18</v>
      </c>
      <c r="E444" s="11" t="s">
        <v>1768</v>
      </c>
      <c r="F444" s="11" t="s">
        <v>1769</v>
      </c>
      <c r="G444" s="9" t="s">
        <v>1770</v>
      </c>
      <c r="H444" s="9" t="s">
        <v>56</v>
      </c>
      <c r="I444" s="9" t="s">
        <v>102</v>
      </c>
      <c r="J444" s="9" t="s">
        <v>100</v>
      </c>
      <c r="K444" s="12" t="s">
        <v>19</v>
      </c>
      <c r="L444" s="13" t="s">
        <v>20</v>
      </c>
      <c r="M444" s="12" t="s">
        <v>2604</v>
      </c>
      <c r="N444" s="12" t="s">
        <v>2605</v>
      </c>
      <c r="O444" s="12" t="s">
        <v>2622</v>
      </c>
      <c r="P444" s="14" t="s">
        <v>2607</v>
      </c>
      <c r="Q444">
        <v>1</v>
      </c>
      <c r="R444" s="20"/>
    </row>
    <row r="445" spans="1:18" ht="20.100000000000001" customHeight="1">
      <c r="A445" s="7">
        <v>440</v>
      </c>
      <c r="B445" s="8">
        <v>3204332008</v>
      </c>
      <c r="C445" s="9" t="s">
        <v>143</v>
      </c>
      <c r="D445" s="10" t="s">
        <v>18</v>
      </c>
      <c r="E445" s="11" t="s">
        <v>1771</v>
      </c>
      <c r="F445" s="11" t="s">
        <v>1772</v>
      </c>
      <c r="G445" s="9" t="s">
        <v>1773</v>
      </c>
      <c r="H445" s="9" t="s">
        <v>56</v>
      </c>
      <c r="I445" s="9" t="s">
        <v>102</v>
      </c>
      <c r="J445" s="9" t="s">
        <v>100</v>
      </c>
      <c r="K445" s="12" t="s">
        <v>19</v>
      </c>
      <c r="L445" s="13" t="s">
        <v>20</v>
      </c>
      <c r="M445" s="12" t="s">
        <v>2604</v>
      </c>
      <c r="N445" s="12" t="s">
        <v>2605</v>
      </c>
      <c r="O445" s="12" t="s">
        <v>195</v>
      </c>
      <c r="P445" s="14" t="s">
        <v>2621</v>
      </c>
      <c r="Q445">
        <v>1</v>
      </c>
      <c r="R445" s="20"/>
    </row>
    <row r="446" spans="1:18" ht="20.100000000000001" customHeight="1">
      <c r="A446" s="7">
        <v>441</v>
      </c>
      <c r="B446" s="8">
        <v>3204332007</v>
      </c>
      <c r="C446" s="9" t="s">
        <v>54</v>
      </c>
      <c r="D446" s="10" t="s">
        <v>18</v>
      </c>
      <c r="E446" s="11" t="s">
        <v>1774</v>
      </c>
      <c r="F446" s="11" t="s">
        <v>1775</v>
      </c>
      <c r="G446" s="9" t="s">
        <v>1776</v>
      </c>
      <c r="H446" s="9" t="s">
        <v>1629</v>
      </c>
      <c r="I446" s="9" t="s">
        <v>102</v>
      </c>
      <c r="J446" s="9" t="s">
        <v>100</v>
      </c>
      <c r="K446" s="12" t="s">
        <v>19</v>
      </c>
      <c r="L446" s="13" t="s">
        <v>20</v>
      </c>
      <c r="M446" s="12" t="s">
        <v>2604</v>
      </c>
      <c r="N446" s="12" t="s">
        <v>2605</v>
      </c>
      <c r="O446" s="12" t="s">
        <v>2608</v>
      </c>
      <c r="P446" s="14" t="s">
        <v>2607</v>
      </c>
      <c r="Q446">
        <v>1</v>
      </c>
      <c r="R446" s="21"/>
    </row>
    <row r="447" spans="1:18" ht="20.100000000000001" customHeight="1">
      <c r="A447" s="7">
        <v>442</v>
      </c>
      <c r="B447" s="8">
        <v>3204102006</v>
      </c>
      <c r="C447" s="9" t="s">
        <v>85</v>
      </c>
      <c r="D447" s="10" t="s">
        <v>18</v>
      </c>
      <c r="E447" s="11" t="s">
        <v>1777</v>
      </c>
      <c r="F447" s="11" t="s">
        <v>1778</v>
      </c>
      <c r="G447" s="9" t="s">
        <v>1779</v>
      </c>
      <c r="H447" s="9" t="s">
        <v>1780</v>
      </c>
      <c r="I447" s="9" t="s">
        <v>226</v>
      </c>
      <c r="J447" s="9" t="s">
        <v>100</v>
      </c>
      <c r="K447" s="12" t="s">
        <v>19</v>
      </c>
      <c r="L447" s="13" t="s">
        <v>20</v>
      </c>
      <c r="M447" s="12" t="s">
        <v>2604</v>
      </c>
      <c r="N447" s="12" t="s">
        <v>2605</v>
      </c>
      <c r="O447" s="12" t="s">
        <v>2624</v>
      </c>
      <c r="P447" s="14" t="s">
        <v>2615</v>
      </c>
      <c r="Q447">
        <v>1</v>
      </c>
      <c r="R447" s="20">
        <f>SUM(Q447:Q462)</f>
        <v>16</v>
      </c>
    </row>
    <row r="448" spans="1:18" ht="20.100000000000001" customHeight="1">
      <c r="A448" s="7">
        <v>443</v>
      </c>
      <c r="B448" s="8">
        <v>3204102006</v>
      </c>
      <c r="C448" s="9" t="s">
        <v>1781</v>
      </c>
      <c r="D448" s="10" t="s">
        <v>22</v>
      </c>
      <c r="E448" s="11" t="s">
        <v>1782</v>
      </c>
      <c r="F448" s="11" t="s">
        <v>1783</v>
      </c>
      <c r="G448" s="9" t="s">
        <v>1784</v>
      </c>
      <c r="H448" s="9" t="s">
        <v>1780</v>
      </c>
      <c r="I448" s="9" t="s">
        <v>226</v>
      </c>
      <c r="J448" s="9" t="s">
        <v>100</v>
      </c>
      <c r="K448" s="12" t="s">
        <v>19</v>
      </c>
      <c r="L448" s="13" t="s">
        <v>20</v>
      </c>
      <c r="M448" s="12" t="s">
        <v>2604</v>
      </c>
      <c r="N448" s="12" t="s">
        <v>2605</v>
      </c>
      <c r="O448" s="12" t="s">
        <v>2608</v>
      </c>
      <c r="P448" s="14" t="s">
        <v>2607</v>
      </c>
      <c r="Q448">
        <v>1</v>
      </c>
      <c r="R448" s="20"/>
    </row>
    <row r="449" spans="1:18" ht="20.100000000000001" customHeight="1">
      <c r="A449" s="7">
        <v>444</v>
      </c>
      <c r="B449" s="8">
        <v>3204102006</v>
      </c>
      <c r="C449" s="9" t="s">
        <v>1785</v>
      </c>
      <c r="D449" s="10" t="s">
        <v>18</v>
      </c>
      <c r="E449" s="11" t="s">
        <v>1786</v>
      </c>
      <c r="F449" s="11" t="s">
        <v>1787</v>
      </c>
      <c r="G449" s="9" t="s">
        <v>1788</v>
      </c>
      <c r="H449" s="9" t="s">
        <v>1780</v>
      </c>
      <c r="I449" s="9" t="s">
        <v>226</v>
      </c>
      <c r="J449" s="9" t="s">
        <v>100</v>
      </c>
      <c r="K449" s="12" t="s">
        <v>19</v>
      </c>
      <c r="L449" s="13" t="s">
        <v>20</v>
      </c>
      <c r="M449" s="12" t="s">
        <v>2604</v>
      </c>
      <c r="N449" s="12" t="s">
        <v>2605</v>
      </c>
      <c r="O449" s="12" t="s">
        <v>2620</v>
      </c>
      <c r="P449" s="14" t="s">
        <v>2615</v>
      </c>
      <c r="Q449">
        <v>1</v>
      </c>
      <c r="R449" s="20"/>
    </row>
    <row r="450" spans="1:18" ht="20.100000000000001" customHeight="1">
      <c r="A450" s="7">
        <v>445</v>
      </c>
      <c r="B450" s="8">
        <v>3204102006</v>
      </c>
      <c r="C450" s="9" t="s">
        <v>144</v>
      </c>
      <c r="D450" s="10" t="s">
        <v>18</v>
      </c>
      <c r="E450" s="11" t="s">
        <v>1789</v>
      </c>
      <c r="F450" s="11" t="s">
        <v>1790</v>
      </c>
      <c r="G450" s="9" t="s">
        <v>1791</v>
      </c>
      <c r="H450" s="9" t="s">
        <v>1780</v>
      </c>
      <c r="I450" s="9" t="s">
        <v>226</v>
      </c>
      <c r="J450" s="9" t="s">
        <v>100</v>
      </c>
      <c r="K450" s="12" t="s">
        <v>19</v>
      </c>
      <c r="L450" s="13" t="s">
        <v>20</v>
      </c>
      <c r="M450" s="12" t="s">
        <v>2604</v>
      </c>
      <c r="N450" s="12" t="s">
        <v>2605</v>
      </c>
      <c r="O450" s="12" t="s">
        <v>2628</v>
      </c>
      <c r="P450" s="14" t="s">
        <v>2615</v>
      </c>
      <c r="Q450">
        <v>1</v>
      </c>
      <c r="R450" s="20"/>
    </row>
    <row r="451" spans="1:18" ht="20.100000000000001" customHeight="1">
      <c r="A451" s="7">
        <v>446</v>
      </c>
      <c r="B451" s="8">
        <v>3204102006</v>
      </c>
      <c r="C451" s="9" t="s">
        <v>113</v>
      </c>
      <c r="D451" s="10" t="s">
        <v>18</v>
      </c>
      <c r="E451" s="11" t="s">
        <v>1792</v>
      </c>
      <c r="F451" s="11" t="s">
        <v>1793</v>
      </c>
      <c r="G451" s="9" t="s">
        <v>1794</v>
      </c>
      <c r="H451" s="9" t="s">
        <v>1780</v>
      </c>
      <c r="I451" s="9" t="s">
        <v>226</v>
      </c>
      <c r="J451" s="9" t="s">
        <v>100</v>
      </c>
      <c r="K451" s="12" t="s">
        <v>19</v>
      </c>
      <c r="L451" s="13" t="s">
        <v>20</v>
      </c>
      <c r="M451" s="12" t="s">
        <v>2604</v>
      </c>
      <c r="N451" s="12" t="s">
        <v>2605</v>
      </c>
      <c r="O451" s="12" t="s">
        <v>2622</v>
      </c>
      <c r="P451" s="14" t="s">
        <v>2607</v>
      </c>
      <c r="Q451">
        <v>1</v>
      </c>
      <c r="R451" s="20"/>
    </row>
    <row r="452" spans="1:18" ht="20.100000000000001" customHeight="1">
      <c r="A452" s="7">
        <v>447</v>
      </c>
      <c r="B452" s="8">
        <v>3204102006</v>
      </c>
      <c r="C452" s="9" t="s">
        <v>53</v>
      </c>
      <c r="D452" s="10" t="s">
        <v>22</v>
      </c>
      <c r="E452" s="11" t="s">
        <v>1795</v>
      </c>
      <c r="F452" s="11" t="s">
        <v>1796</v>
      </c>
      <c r="G452" s="9" t="s">
        <v>1797</v>
      </c>
      <c r="H452" s="9" t="s">
        <v>1780</v>
      </c>
      <c r="I452" s="9" t="s">
        <v>226</v>
      </c>
      <c r="J452" s="9" t="s">
        <v>100</v>
      </c>
      <c r="K452" s="12" t="s">
        <v>19</v>
      </c>
      <c r="L452" s="13" t="s">
        <v>20</v>
      </c>
      <c r="M452" s="12" t="s">
        <v>2604</v>
      </c>
      <c r="N452" s="12" t="s">
        <v>2605</v>
      </c>
      <c r="O452" s="12" t="s">
        <v>2611</v>
      </c>
      <c r="P452" s="14" t="s">
        <v>2607</v>
      </c>
      <c r="Q452">
        <v>1</v>
      </c>
      <c r="R452" s="20"/>
    </row>
    <row r="453" spans="1:18" ht="20.100000000000001" customHeight="1">
      <c r="A453" s="7">
        <v>448</v>
      </c>
      <c r="B453" s="8">
        <v>3204102006</v>
      </c>
      <c r="C453" s="9" t="s">
        <v>31</v>
      </c>
      <c r="D453" s="10" t="s">
        <v>22</v>
      </c>
      <c r="E453" s="11" t="s">
        <v>1798</v>
      </c>
      <c r="F453" s="11" t="s">
        <v>1799</v>
      </c>
      <c r="G453" s="9" t="s">
        <v>1800</v>
      </c>
      <c r="H453" s="9" t="s">
        <v>1780</v>
      </c>
      <c r="I453" s="9" t="s">
        <v>226</v>
      </c>
      <c r="J453" s="9" t="s">
        <v>100</v>
      </c>
      <c r="K453" s="12" t="s">
        <v>19</v>
      </c>
      <c r="L453" s="13" t="s">
        <v>20</v>
      </c>
      <c r="M453" s="12" t="s">
        <v>2604</v>
      </c>
      <c r="N453" s="12" t="s">
        <v>2605</v>
      </c>
      <c r="O453" s="12" t="s">
        <v>2619</v>
      </c>
      <c r="P453" s="14" t="s">
        <v>2610</v>
      </c>
      <c r="Q453">
        <v>1</v>
      </c>
      <c r="R453" s="20"/>
    </row>
    <row r="454" spans="1:18" ht="20.100000000000001" customHeight="1">
      <c r="A454" s="7">
        <v>449</v>
      </c>
      <c r="B454" s="8">
        <v>3204102006</v>
      </c>
      <c r="C454" s="9" t="s">
        <v>45</v>
      </c>
      <c r="D454" s="10" t="s">
        <v>22</v>
      </c>
      <c r="E454" s="11" t="s">
        <v>1801</v>
      </c>
      <c r="F454" s="11" t="s">
        <v>1802</v>
      </c>
      <c r="G454" s="9" t="s">
        <v>1803</v>
      </c>
      <c r="H454" s="9" t="s">
        <v>1780</v>
      </c>
      <c r="I454" s="9" t="s">
        <v>226</v>
      </c>
      <c r="J454" s="9" t="s">
        <v>100</v>
      </c>
      <c r="K454" s="12" t="s">
        <v>19</v>
      </c>
      <c r="L454" s="13" t="s">
        <v>20</v>
      </c>
      <c r="M454" s="12" t="s">
        <v>2604</v>
      </c>
      <c r="N454" s="12" t="s">
        <v>2605</v>
      </c>
      <c r="O454" s="12" t="s">
        <v>2606</v>
      </c>
      <c r="P454" s="14" t="s">
        <v>2607</v>
      </c>
      <c r="Q454">
        <v>1</v>
      </c>
      <c r="R454" s="20"/>
    </row>
    <row r="455" spans="1:18" ht="20.100000000000001" customHeight="1">
      <c r="A455" s="7">
        <v>450</v>
      </c>
      <c r="B455" s="8">
        <v>3204102006</v>
      </c>
      <c r="C455" s="9" t="s">
        <v>1804</v>
      </c>
      <c r="D455" s="10" t="s">
        <v>22</v>
      </c>
      <c r="E455" s="11" t="s">
        <v>1805</v>
      </c>
      <c r="F455" s="11" t="s">
        <v>1806</v>
      </c>
      <c r="G455" s="9" t="s">
        <v>1803</v>
      </c>
      <c r="H455" s="9" t="s">
        <v>1780</v>
      </c>
      <c r="I455" s="9" t="s">
        <v>226</v>
      </c>
      <c r="J455" s="9" t="s">
        <v>100</v>
      </c>
      <c r="K455" s="12" t="s">
        <v>19</v>
      </c>
      <c r="L455" s="13" t="s">
        <v>20</v>
      </c>
      <c r="M455" s="12" t="s">
        <v>2604</v>
      </c>
      <c r="N455" s="12" t="s">
        <v>2605</v>
      </c>
      <c r="O455" s="12" t="s">
        <v>2616</v>
      </c>
      <c r="P455" s="14" t="s">
        <v>2607</v>
      </c>
      <c r="Q455">
        <v>1</v>
      </c>
      <c r="R455" s="20"/>
    </row>
    <row r="456" spans="1:18" ht="20.100000000000001" customHeight="1">
      <c r="A456" s="7">
        <v>451</v>
      </c>
      <c r="B456" s="8">
        <v>3204102006</v>
      </c>
      <c r="C456" s="9" t="s">
        <v>184</v>
      </c>
      <c r="D456" s="10" t="s">
        <v>22</v>
      </c>
      <c r="E456" s="11" t="s">
        <v>1807</v>
      </c>
      <c r="F456" s="11" t="s">
        <v>1808</v>
      </c>
      <c r="G456" s="9" t="s">
        <v>1809</v>
      </c>
      <c r="H456" s="9" t="s">
        <v>1780</v>
      </c>
      <c r="I456" s="9" t="s">
        <v>226</v>
      </c>
      <c r="J456" s="9" t="s">
        <v>100</v>
      </c>
      <c r="K456" s="12" t="s">
        <v>19</v>
      </c>
      <c r="L456" s="13" t="s">
        <v>20</v>
      </c>
      <c r="M456" s="12" t="s">
        <v>2604</v>
      </c>
      <c r="N456" s="12" t="s">
        <v>2605</v>
      </c>
      <c r="O456" s="12" t="s">
        <v>2617</v>
      </c>
      <c r="P456" s="14" t="s">
        <v>2610</v>
      </c>
      <c r="Q456">
        <v>1</v>
      </c>
      <c r="R456" s="20"/>
    </row>
    <row r="457" spans="1:18" ht="20.100000000000001" customHeight="1">
      <c r="A457" s="7">
        <v>452</v>
      </c>
      <c r="B457" s="8">
        <v>3204102006</v>
      </c>
      <c r="C457" s="9" t="s">
        <v>1810</v>
      </c>
      <c r="D457" s="10" t="s">
        <v>22</v>
      </c>
      <c r="E457" s="11" t="s">
        <v>1811</v>
      </c>
      <c r="F457" s="11" t="s">
        <v>1812</v>
      </c>
      <c r="G457" s="9" t="s">
        <v>1813</v>
      </c>
      <c r="H457" s="9" t="s">
        <v>1780</v>
      </c>
      <c r="I457" s="9" t="s">
        <v>226</v>
      </c>
      <c r="J457" s="9" t="s">
        <v>100</v>
      </c>
      <c r="K457" s="12" t="s">
        <v>19</v>
      </c>
      <c r="L457" s="13" t="s">
        <v>20</v>
      </c>
      <c r="M457" s="12" t="s">
        <v>2604</v>
      </c>
      <c r="N457" s="12" t="s">
        <v>2605</v>
      </c>
      <c r="O457" s="12" t="s">
        <v>2606</v>
      </c>
      <c r="P457" s="14" t="s">
        <v>2607</v>
      </c>
      <c r="Q457">
        <v>1</v>
      </c>
      <c r="R457" s="20"/>
    </row>
    <row r="458" spans="1:18" ht="20.100000000000001" customHeight="1">
      <c r="A458" s="7">
        <v>453</v>
      </c>
      <c r="B458" s="8">
        <v>3204102006</v>
      </c>
      <c r="C458" s="9" t="s">
        <v>1814</v>
      </c>
      <c r="D458" s="10" t="s">
        <v>18</v>
      </c>
      <c r="E458" s="11" t="s">
        <v>1815</v>
      </c>
      <c r="F458" s="11" t="s">
        <v>1816</v>
      </c>
      <c r="G458" s="9" t="s">
        <v>1817</v>
      </c>
      <c r="H458" s="9" t="s">
        <v>1780</v>
      </c>
      <c r="I458" s="9" t="s">
        <v>226</v>
      </c>
      <c r="J458" s="9" t="s">
        <v>100</v>
      </c>
      <c r="K458" s="12" t="s">
        <v>19</v>
      </c>
      <c r="L458" s="13" t="s">
        <v>20</v>
      </c>
      <c r="M458" s="12" t="s">
        <v>2604</v>
      </c>
      <c r="N458" s="12" t="s">
        <v>2605</v>
      </c>
      <c r="O458" s="12" t="s">
        <v>2628</v>
      </c>
      <c r="P458" s="14" t="s">
        <v>2615</v>
      </c>
      <c r="Q458">
        <v>1</v>
      </c>
      <c r="R458" s="20"/>
    </row>
    <row r="459" spans="1:18" ht="20.100000000000001" customHeight="1">
      <c r="A459" s="7">
        <v>454</v>
      </c>
      <c r="B459" s="8">
        <v>3204102006</v>
      </c>
      <c r="C459" s="9" t="s">
        <v>1818</v>
      </c>
      <c r="D459" s="10" t="s">
        <v>22</v>
      </c>
      <c r="E459" s="11" t="s">
        <v>1819</v>
      </c>
      <c r="F459" s="11" t="s">
        <v>1820</v>
      </c>
      <c r="G459" s="9" t="s">
        <v>1821</v>
      </c>
      <c r="H459" s="9" t="s">
        <v>1780</v>
      </c>
      <c r="I459" s="9" t="s">
        <v>226</v>
      </c>
      <c r="J459" s="9" t="s">
        <v>100</v>
      </c>
      <c r="K459" s="12" t="s">
        <v>19</v>
      </c>
      <c r="L459" s="13" t="s">
        <v>20</v>
      </c>
      <c r="M459" s="12" t="s">
        <v>2604</v>
      </c>
      <c r="N459" s="12" t="s">
        <v>2605</v>
      </c>
      <c r="O459" s="12" t="s">
        <v>2608</v>
      </c>
      <c r="P459" s="14" t="s">
        <v>2607</v>
      </c>
      <c r="Q459">
        <v>1</v>
      </c>
      <c r="R459" s="20"/>
    </row>
    <row r="460" spans="1:18" ht="20.100000000000001" customHeight="1">
      <c r="A460" s="7">
        <v>455</v>
      </c>
      <c r="B460" s="8">
        <v>3204102006</v>
      </c>
      <c r="C460" s="9" t="s">
        <v>151</v>
      </c>
      <c r="D460" s="10" t="s">
        <v>22</v>
      </c>
      <c r="E460" s="11" t="s">
        <v>1822</v>
      </c>
      <c r="F460" s="11" t="s">
        <v>1823</v>
      </c>
      <c r="G460" s="9" t="s">
        <v>1824</v>
      </c>
      <c r="H460" s="9" t="s">
        <v>1780</v>
      </c>
      <c r="I460" s="9" t="s">
        <v>226</v>
      </c>
      <c r="J460" s="9" t="s">
        <v>100</v>
      </c>
      <c r="K460" s="12" t="s">
        <v>19</v>
      </c>
      <c r="L460" s="13" t="s">
        <v>20</v>
      </c>
      <c r="M460" s="12" t="s">
        <v>2604</v>
      </c>
      <c r="N460" s="12" t="s">
        <v>2605</v>
      </c>
      <c r="O460" s="12" t="s">
        <v>2606</v>
      </c>
      <c r="P460" s="14" t="s">
        <v>2607</v>
      </c>
      <c r="Q460">
        <v>1</v>
      </c>
      <c r="R460" s="20"/>
    </row>
    <row r="461" spans="1:18" ht="20.100000000000001" customHeight="1">
      <c r="A461" s="7">
        <v>456</v>
      </c>
      <c r="B461" s="8">
        <v>3204102006</v>
      </c>
      <c r="C461" s="9" t="s">
        <v>1825</v>
      </c>
      <c r="D461" s="10" t="s">
        <v>22</v>
      </c>
      <c r="E461" s="11" t="s">
        <v>1826</v>
      </c>
      <c r="F461" s="11" t="s">
        <v>1827</v>
      </c>
      <c r="G461" s="9" t="s">
        <v>1828</v>
      </c>
      <c r="H461" s="9" t="s">
        <v>1780</v>
      </c>
      <c r="I461" s="9" t="s">
        <v>226</v>
      </c>
      <c r="J461" s="9" t="s">
        <v>100</v>
      </c>
      <c r="K461" s="12" t="s">
        <v>19</v>
      </c>
      <c r="L461" s="13" t="s">
        <v>20</v>
      </c>
      <c r="M461" s="12" t="s">
        <v>2604</v>
      </c>
      <c r="N461" s="12" t="s">
        <v>2605</v>
      </c>
      <c r="O461" s="12" t="s">
        <v>2608</v>
      </c>
      <c r="P461" s="14" t="s">
        <v>2607</v>
      </c>
      <c r="Q461">
        <v>1</v>
      </c>
      <c r="R461" s="20"/>
    </row>
    <row r="462" spans="1:18" ht="20.100000000000001" customHeight="1">
      <c r="A462" s="7">
        <v>457</v>
      </c>
      <c r="B462" s="8">
        <v>3204102006</v>
      </c>
      <c r="C462" s="9" t="s">
        <v>1829</v>
      </c>
      <c r="D462" s="10" t="s">
        <v>18</v>
      </c>
      <c r="E462" s="11" t="s">
        <v>1830</v>
      </c>
      <c r="F462" s="11" t="s">
        <v>1831</v>
      </c>
      <c r="G462" s="9" t="s">
        <v>1832</v>
      </c>
      <c r="H462" s="9" t="s">
        <v>1780</v>
      </c>
      <c r="I462" s="9" t="s">
        <v>226</v>
      </c>
      <c r="J462" s="9" t="s">
        <v>100</v>
      </c>
      <c r="K462" s="12" t="s">
        <v>19</v>
      </c>
      <c r="L462" s="13" t="s">
        <v>20</v>
      </c>
      <c r="M462" s="12" t="s">
        <v>2604</v>
      </c>
      <c r="N462" s="12" t="s">
        <v>2605</v>
      </c>
      <c r="O462" s="12" t="s">
        <v>2618</v>
      </c>
      <c r="P462" s="14" t="s">
        <v>2610</v>
      </c>
      <c r="Q462">
        <v>1</v>
      </c>
      <c r="R462" s="20"/>
    </row>
    <row r="463" spans="1:18" ht="20.100000000000001" customHeight="1">
      <c r="A463" s="7">
        <v>458</v>
      </c>
      <c r="B463" s="8">
        <v>3204262003</v>
      </c>
      <c r="C463" s="9" t="s">
        <v>58</v>
      </c>
      <c r="D463" s="10" t="s">
        <v>18</v>
      </c>
      <c r="E463" s="11" t="s">
        <v>1833</v>
      </c>
      <c r="F463" s="11" t="s">
        <v>1834</v>
      </c>
      <c r="G463" s="9" t="s">
        <v>1835</v>
      </c>
      <c r="H463" s="9" t="s">
        <v>1836</v>
      </c>
      <c r="I463" s="9" t="s">
        <v>1837</v>
      </c>
      <c r="J463" s="9" t="s">
        <v>100</v>
      </c>
      <c r="K463" s="12" t="s">
        <v>19</v>
      </c>
      <c r="L463" s="13" t="s">
        <v>20</v>
      </c>
      <c r="M463" s="12" t="s">
        <v>2604</v>
      </c>
      <c r="N463" s="12" t="s">
        <v>2605</v>
      </c>
      <c r="O463" s="12" t="s">
        <v>2611</v>
      </c>
      <c r="P463" s="14" t="s">
        <v>2607</v>
      </c>
      <c r="Q463">
        <v>1</v>
      </c>
      <c r="R463" s="20">
        <f>SUM(Q463:Q482)</f>
        <v>20</v>
      </c>
    </row>
    <row r="464" spans="1:18" ht="20.100000000000001" customHeight="1">
      <c r="A464" s="7">
        <v>459</v>
      </c>
      <c r="B464" s="8">
        <v>3204262003</v>
      </c>
      <c r="C464" s="9" t="s">
        <v>180</v>
      </c>
      <c r="D464" s="10" t="s">
        <v>22</v>
      </c>
      <c r="E464" s="11" t="s">
        <v>1838</v>
      </c>
      <c r="F464" s="11" t="s">
        <v>1839</v>
      </c>
      <c r="G464" s="9" t="s">
        <v>1840</v>
      </c>
      <c r="H464" s="9" t="s">
        <v>1836</v>
      </c>
      <c r="I464" s="9" t="s">
        <v>1837</v>
      </c>
      <c r="J464" s="9" t="s">
        <v>100</v>
      </c>
      <c r="K464" s="12" t="s">
        <v>19</v>
      </c>
      <c r="L464" s="13" t="s">
        <v>20</v>
      </c>
      <c r="M464" s="12" t="s">
        <v>2604</v>
      </c>
      <c r="N464" s="12" t="s">
        <v>2605</v>
      </c>
      <c r="O464" s="12" t="s">
        <v>2606</v>
      </c>
      <c r="P464" s="14" t="s">
        <v>2607</v>
      </c>
      <c r="Q464">
        <v>1</v>
      </c>
      <c r="R464" s="20"/>
    </row>
    <row r="465" spans="1:18" ht="20.100000000000001" customHeight="1">
      <c r="A465" s="7">
        <v>460</v>
      </c>
      <c r="B465" s="8">
        <v>3204262003</v>
      </c>
      <c r="C465" s="9" t="s">
        <v>1841</v>
      </c>
      <c r="D465" s="10" t="s">
        <v>22</v>
      </c>
      <c r="E465" s="11" t="s">
        <v>1842</v>
      </c>
      <c r="F465" s="11" t="s">
        <v>1843</v>
      </c>
      <c r="G465" s="9" t="s">
        <v>1844</v>
      </c>
      <c r="H465" s="9" t="s">
        <v>1836</v>
      </c>
      <c r="I465" s="9" t="s">
        <v>1837</v>
      </c>
      <c r="J465" s="9" t="s">
        <v>100</v>
      </c>
      <c r="K465" s="12" t="s">
        <v>19</v>
      </c>
      <c r="L465" s="13" t="s">
        <v>20</v>
      </c>
      <c r="M465" s="12" t="s">
        <v>2604</v>
      </c>
      <c r="N465" s="12" t="s">
        <v>2605</v>
      </c>
      <c r="O465" s="12" t="s">
        <v>2606</v>
      </c>
      <c r="P465" s="14" t="s">
        <v>2607</v>
      </c>
      <c r="Q465">
        <v>1</v>
      </c>
      <c r="R465" s="20"/>
    </row>
    <row r="466" spans="1:18" ht="20.100000000000001" customHeight="1">
      <c r="A466" s="7">
        <v>461</v>
      </c>
      <c r="B466" s="8">
        <v>3204262003</v>
      </c>
      <c r="C466" s="9" t="s">
        <v>132</v>
      </c>
      <c r="D466" s="10" t="s">
        <v>18</v>
      </c>
      <c r="E466" s="11" t="s">
        <v>1845</v>
      </c>
      <c r="F466" s="11" t="s">
        <v>1846</v>
      </c>
      <c r="G466" s="9" t="s">
        <v>1847</v>
      </c>
      <c r="H466" s="9" t="s">
        <v>1836</v>
      </c>
      <c r="I466" s="9" t="s">
        <v>1837</v>
      </c>
      <c r="J466" s="9" t="s">
        <v>100</v>
      </c>
      <c r="K466" s="12" t="s">
        <v>19</v>
      </c>
      <c r="L466" s="13" t="s">
        <v>20</v>
      </c>
      <c r="M466" s="12" t="s">
        <v>2604</v>
      </c>
      <c r="N466" s="12" t="s">
        <v>2605</v>
      </c>
      <c r="O466" s="12" t="s">
        <v>2606</v>
      </c>
      <c r="P466" s="14" t="s">
        <v>2607</v>
      </c>
      <c r="Q466">
        <v>1</v>
      </c>
      <c r="R466" s="20"/>
    </row>
    <row r="467" spans="1:18" ht="20.100000000000001" customHeight="1">
      <c r="A467" s="7">
        <v>462</v>
      </c>
      <c r="B467" s="8">
        <v>3204262003</v>
      </c>
      <c r="C467" s="9" t="s">
        <v>1848</v>
      </c>
      <c r="D467" s="10" t="s">
        <v>22</v>
      </c>
      <c r="E467" s="11" t="s">
        <v>1849</v>
      </c>
      <c r="F467" s="11" t="s">
        <v>1850</v>
      </c>
      <c r="G467" s="9" t="s">
        <v>1851</v>
      </c>
      <c r="H467" s="9" t="s">
        <v>1836</v>
      </c>
      <c r="I467" s="9" t="s">
        <v>1837</v>
      </c>
      <c r="J467" s="9" t="s">
        <v>100</v>
      </c>
      <c r="K467" s="12" t="s">
        <v>19</v>
      </c>
      <c r="L467" s="13" t="s">
        <v>20</v>
      </c>
      <c r="M467" s="12" t="s">
        <v>2604</v>
      </c>
      <c r="N467" s="12" t="s">
        <v>2605</v>
      </c>
      <c r="O467" s="12" t="s">
        <v>2608</v>
      </c>
      <c r="P467" s="14" t="s">
        <v>2607</v>
      </c>
      <c r="Q467">
        <v>1</v>
      </c>
      <c r="R467" s="20"/>
    </row>
    <row r="468" spans="1:18" ht="20.100000000000001" customHeight="1">
      <c r="A468" s="7">
        <v>463</v>
      </c>
      <c r="B468" s="8">
        <v>3204262003</v>
      </c>
      <c r="C468" s="9" t="s">
        <v>1852</v>
      </c>
      <c r="D468" s="10" t="s">
        <v>22</v>
      </c>
      <c r="E468" s="11" t="s">
        <v>1853</v>
      </c>
      <c r="F468" s="11" t="s">
        <v>1854</v>
      </c>
      <c r="G468" s="9" t="s">
        <v>1855</v>
      </c>
      <c r="H468" s="9" t="s">
        <v>1836</v>
      </c>
      <c r="I468" s="9" t="s">
        <v>1837</v>
      </c>
      <c r="J468" s="9" t="s">
        <v>100</v>
      </c>
      <c r="K468" s="12" t="s">
        <v>19</v>
      </c>
      <c r="L468" s="13" t="s">
        <v>20</v>
      </c>
      <c r="M468" s="12" t="s">
        <v>2604</v>
      </c>
      <c r="N468" s="12" t="s">
        <v>2605</v>
      </c>
      <c r="O468" s="12" t="s">
        <v>2606</v>
      </c>
      <c r="P468" s="14" t="s">
        <v>2607</v>
      </c>
      <c r="Q468">
        <v>1</v>
      </c>
      <c r="R468" s="20"/>
    </row>
    <row r="469" spans="1:18" ht="20.100000000000001" customHeight="1">
      <c r="A469" s="7">
        <v>464</v>
      </c>
      <c r="B469" s="8">
        <v>3204262003</v>
      </c>
      <c r="C469" s="9" t="s">
        <v>69</v>
      </c>
      <c r="D469" s="10" t="s">
        <v>22</v>
      </c>
      <c r="E469" s="11" t="s">
        <v>1856</v>
      </c>
      <c r="F469" s="11" t="s">
        <v>1857</v>
      </c>
      <c r="G469" s="9" t="s">
        <v>1858</v>
      </c>
      <c r="H469" s="9" t="s">
        <v>1836</v>
      </c>
      <c r="I469" s="9" t="s">
        <v>1837</v>
      </c>
      <c r="J469" s="9" t="s">
        <v>100</v>
      </c>
      <c r="K469" s="12" t="s">
        <v>19</v>
      </c>
      <c r="L469" s="13" t="s">
        <v>20</v>
      </c>
      <c r="M469" s="12" t="s">
        <v>2604</v>
      </c>
      <c r="N469" s="12" t="s">
        <v>2605</v>
      </c>
      <c r="O469" s="12" t="s">
        <v>2606</v>
      </c>
      <c r="P469" s="14" t="s">
        <v>2607</v>
      </c>
      <c r="Q469">
        <v>1</v>
      </c>
      <c r="R469" s="20"/>
    </row>
    <row r="470" spans="1:18" ht="20.100000000000001" customHeight="1">
      <c r="A470" s="7">
        <v>465</v>
      </c>
      <c r="B470" s="8">
        <v>3204262003</v>
      </c>
      <c r="C470" s="9" t="s">
        <v>76</v>
      </c>
      <c r="D470" s="10" t="s">
        <v>22</v>
      </c>
      <c r="E470" s="11" t="s">
        <v>1859</v>
      </c>
      <c r="F470" s="11" t="s">
        <v>1860</v>
      </c>
      <c r="G470" s="9" t="s">
        <v>1861</v>
      </c>
      <c r="H470" s="9" t="s">
        <v>1836</v>
      </c>
      <c r="I470" s="9" t="s">
        <v>1837</v>
      </c>
      <c r="J470" s="9" t="s">
        <v>100</v>
      </c>
      <c r="K470" s="12" t="s">
        <v>19</v>
      </c>
      <c r="L470" s="13" t="s">
        <v>20</v>
      </c>
      <c r="M470" s="12" t="s">
        <v>2604</v>
      </c>
      <c r="N470" s="12" t="s">
        <v>2605</v>
      </c>
      <c r="O470" s="12" t="s">
        <v>2611</v>
      </c>
      <c r="P470" s="14" t="s">
        <v>2607</v>
      </c>
      <c r="Q470">
        <v>1</v>
      </c>
      <c r="R470" s="20"/>
    </row>
    <row r="471" spans="1:18" ht="20.100000000000001" customHeight="1">
      <c r="A471" s="7">
        <v>466</v>
      </c>
      <c r="B471" s="8">
        <v>3204262003</v>
      </c>
      <c r="C471" s="9" t="s">
        <v>141</v>
      </c>
      <c r="D471" s="10" t="s">
        <v>22</v>
      </c>
      <c r="E471" s="11" t="s">
        <v>1862</v>
      </c>
      <c r="F471" s="11" t="s">
        <v>1863</v>
      </c>
      <c r="G471" s="9" t="s">
        <v>1864</v>
      </c>
      <c r="H471" s="9" t="s">
        <v>1836</v>
      </c>
      <c r="I471" s="9" t="s">
        <v>1837</v>
      </c>
      <c r="J471" s="9" t="s">
        <v>100</v>
      </c>
      <c r="K471" s="12" t="s">
        <v>19</v>
      </c>
      <c r="L471" s="13" t="s">
        <v>20</v>
      </c>
      <c r="M471" s="12" t="s">
        <v>2604</v>
      </c>
      <c r="N471" s="12" t="s">
        <v>2605</v>
      </c>
      <c r="O471" s="12" t="s">
        <v>2606</v>
      </c>
      <c r="P471" s="14" t="s">
        <v>2607</v>
      </c>
      <c r="Q471">
        <v>1</v>
      </c>
      <c r="R471" s="20"/>
    </row>
    <row r="472" spans="1:18" ht="20.100000000000001" customHeight="1">
      <c r="A472" s="7">
        <v>467</v>
      </c>
      <c r="B472" s="8">
        <v>3204262003</v>
      </c>
      <c r="C472" s="9" t="s">
        <v>1865</v>
      </c>
      <c r="D472" s="10" t="s">
        <v>22</v>
      </c>
      <c r="E472" s="11" t="s">
        <v>1866</v>
      </c>
      <c r="F472" s="11" t="s">
        <v>1867</v>
      </c>
      <c r="G472" s="9" t="s">
        <v>1861</v>
      </c>
      <c r="H472" s="9" t="s">
        <v>1836</v>
      </c>
      <c r="I472" s="9" t="s">
        <v>1837</v>
      </c>
      <c r="J472" s="9" t="s">
        <v>100</v>
      </c>
      <c r="K472" s="12" t="s">
        <v>19</v>
      </c>
      <c r="L472" s="13" t="s">
        <v>20</v>
      </c>
      <c r="M472" s="12" t="s">
        <v>2604</v>
      </c>
      <c r="N472" s="12" t="s">
        <v>2605</v>
      </c>
      <c r="O472" s="12" t="s">
        <v>2606</v>
      </c>
      <c r="P472" s="14" t="s">
        <v>2607</v>
      </c>
      <c r="Q472">
        <v>1</v>
      </c>
      <c r="R472" s="20"/>
    </row>
    <row r="473" spans="1:18" ht="20.100000000000001" customHeight="1">
      <c r="A473" s="7">
        <v>468</v>
      </c>
      <c r="B473" s="8">
        <v>3204262003</v>
      </c>
      <c r="C473" s="9" t="s">
        <v>94</v>
      </c>
      <c r="D473" s="10" t="s">
        <v>18</v>
      </c>
      <c r="E473" s="11" t="s">
        <v>1868</v>
      </c>
      <c r="F473" s="11" t="s">
        <v>1869</v>
      </c>
      <c r="G473" s="9" t="s">
        <v>1870</v>
      </c>
      <c r="H473" s="9" t="s">
        <v>1836</v>
      </c>
      <c r="I473" s="9" t="s">
        <v>1837</v>
      </c>
      <c r="J473" s="9" t="s">
        <v>100</v>
      </c>
      <c r="K473" s="12" t="s">
        <v>19</v>
      </c>
      <c r="L473" s="13" t="s">
        <v>20</v>
      </c>
      <c r="M473" s="12" t="s">
        <v>2604</v>
      </c>
      <c r="N473" s="12" t="s">
        <v>2605</v>
      </c>
      <c r="O473" s="12" t="s">
        <v>2606</v>
      </c>
      <c r="P473" s="14" t="s">
        <v>2607</v>
      </c>
      <c r="Q473">
        <v>1</v>
      </c>
      <c r="R473" s="20"/>
    </row>
    <row r="474" spans="1:18" ht="20.100000000000001" customHeight="1">
      <c r="A474" s="7">
        <v>469</v>
      </c>
      <c r="B474" s="8">
        <v>3204262003</v>
      </c>
      <c r="C474" s="9" t="s">
        <v>1871</v>
      </c>
      <c r="D474" s="10" t="s">
        <v>22</v>
      </c>
      <c r="E474" s="11" t="s">
        <v>1872</v>
      </c>
      <c r="F474" s="11" t="s">
        <v>1873</v>
      </c>
      <c r="G474" s="9" t="s">
        <v>1874</v>
      </c>
      <c r="H474" s="9" t="s">
        <v>1836</v>
      </c>
      <c r="I474" s="9" t="s">
        <v>1837</v>
      </c>
      <c r="J474" s="9" t="s">
        <v>100</v>
      </c>
      <c r="K474" s="12" t="s">
        <v>19</v>
      </c>
      <c r="L474" s="13" t="s">
        <v>20</v>
      </c>
      <c r="M474" s="12" t="s">
        <v>2604</v>
      </c>
      <c r="N474" s="12" t="s">
        <v>2605</v>
      </c>
      <c r="O474" s="12" t="s">
        <v>2606</v>
      </c>
      <c r="P474" s="14" t="s">
        <v>2607</v>
      </c>
      <c r="Q474">
        <v>1</v>
      </c>
      <c r="R474" s="20"/>
    </row>
    <row r="475" spans="1:18" ht="20.100000000000001" customHeight="1">
      <c r="A475" s="7">
        <v>470</v>
      </c>
      <c r="B475" s="8">
        <v>3204262003</v>
      </c>
      <c r="C475" s="9" t="s">
        <v>94</v>
      </c>
      <c r="D475" s="10" t="s">
        <v>18</v>
      </c>
      <c r="E475" s="11" t="s">
        <v>1875</v>
      </c>
      <c r="F475" s="11" t="s">
        <v>1876</v>
      </c>
      <c r="G475" s="9" t="s">
        <v>1877</v>
      </c>
      <c r="H475" s="9" t="s">
        <v>1836</v>
      </c>
      <c r="I475" s="9" t="s">
        <v>1837</v>
      </c>
      <c r="J475" s="9" t="s">
        <v>100</v>
      </c>
      <c r="K475" s="12" t="s">
        <v>19</v>
      </c>
      <c r="L475" s="13" t="s">
        <v>20</v>
      </c>
      <c r="M475" s="12" t="s">
        <v>2604</v>
      </c>
      <c r="N475" s="12" t="s">
        <v>2605</v>
      </c>
      <c r="O475" s="12" t="s">
        <v>2606</v>
      </c>
      <c r="P475" s="14" t="s">
        <v>2607</v>
      </c>
      <c r="Q475">
        <v>1</v>
      </c>
      <c r="R475" s="20"/>
    </row>
    <row r="476" spans="1:18" ht="20.100000000000001" customHeight="1">
      <c r="A476" s="7">
        <v>471</v>
      </c>
      <c r="B476" s="8">
        <v>3204262003</v>
      </c>
      <c r="C476" s="9" t="s">
        <v>1878</v>
      </c>
      <c r="D476" s="10" t="s">
        <v>22</v>
      </c>
      <c r="E476" s="11" t="s">
        <v>1879</v>
      </c>
      <c r="F476" s="11" t="s">
        <v>1880</v>
      </c>
      <c r="G476" s="9" t="s">
        <v>1858</v>
      </c>
      <c r="H476" s="9" t="s">
        <v>1836</v>
      </c>
      <c r="I476" s="9" t="s">
        <v>1837</v>
      </c>
      <c r="J476" s="9" t="s">
        <v>100</v>
      </c>
      <c r="K476" s="12" t="s">
        <v>19</v>
      </c>
      <c r="L476" s="13" t="s">
        <v>20</v>
      </c>
      <c r="M476" s="12" t="s">
        <v>2604</v>
      </c>
      <c r="N476" s="12" t="s">
        <v>2605</v>
      </c>
      <c r="O476" s="12" t="s">
        <v>2606</v>
      </c>
      <c r="P476" s="14" t="s">
        <v>2607</v>
      </c>
      <c r="Q476">
        <v>1</v>
      </c>
      <c r="R476" s="20"/>
    </row>
    <row r="477" spans="1:18" ht="20.100000000000001" customHeight="1">
      <c r="A477" s="7">
        <v>472</v>
      </c>
      <c r="B477" s="8">
        <v>3204262003</v>
      </c>
      <c r="C477" s="9" t="s">
        <v>81</v>
      </c>
      <c r="D477" s="10" t="s">
        <v>22</v>
      </c>
      <c r="E477" s="11" t="s">
        <v>1881</v>
      </c>
      <c r="F477" s="11" t="s">
        <v>1882</v>
      </c>
      <c r="G477" s="9" t="s">
        <v>1883</v>
      </c>
      <c r="H477" s="9" t="s">
        <v>1836</v>
      </c>
      <c r="I477" s="9" t="s">
        <v>1837</v>
      </c>
      <c r="J477" s="9" t="s">
        <v>100</v>
      </c>
      <c r="K477" s="12" t="s">
        <v>19</v>
      </c>
      <c r="L477" s="13" t="s">
        <v>20</v>
      </c>
      <c r="M477" s="12" t="s">
        <v>2604</v>
      </c>
      <c r="N477" s="12" t="s">
        <v>2605</v>
      </c>
      <c r="O477" s="12" t="s">
        <v>2608</v>
      </c>
      <c r="P477" s="14" t="s">
        <v>2607</v>
      </c>
      <c r="Q477">
        <v>1</v>
      </c>
      <c r="R477" s="20"/>
    </row>
    <row r="478" spans="1:18" ht="20.100000000000001" customHeight="1">
      <c r="A478" s="7">
        <v>473</v>
      </c>
      <c r="B478" s="8">
        <v>3204262003</v>
      </c>
      <c r="C478" s="9" t="s">
        <v>80</v>
      </c>
      <c r="D478" s="10" t="s">
        <v>18</v>
      </c>
      <c r="E478" s="11" t="s">
        <v>1884</v>
      </c>
      <c r="F478" s="11" t="s">
        <v>1885</v>
      </c>
      <c r="G478" s="9" t="s">
        <v>1883</v>
      </c>
      <c r="H478" s="9" t="s">
        <v>1836</v>
      </c>
      <c r="I478" s="9" t="s">
        <v>1837</v>
      </c>
      <c r="J478" s="9" t="s">
        <v>100</v>
      </c>
      <c r="K478" s="12" t="s">
        <v>19</v>
      </c>
      <c r="L478" s="13" t="s">
        <v>20</v>
      </c>
      <c r="M478" s="12" t="s">
        <v>2604</v>
      </c>
      <c r="N478" s="12" t="s">
        <v>2605</v>
      </c>
      <c r="O478" s="12" t="s">
        <v>2616</v>
      </c>
      <c r="P478" s="14" t="s">
        <v>2607</v>
      </c>
      <c r="Q478">
        <v>1</v>
      </c>
      <c r="R478" s="20"/>
    </row>
    <row r="479" spans="1:18" ht="20.100000000000001" customHeight="1">
      <c r="A479" s="7">
        <v>474</v>
      </c>
      <c r="B479" s="8">
        <v>3204262003</v>
      </c>
      <c r="C479" s="9" t="s">
        <v>1886</v>
      </c>
      <c r="D479" s="10" t="s">
        <v>18</v>
      </c>
      <c r="E479" s="11" t="s">
        <v>1887</v>
      </c>
      <c r="F479" s="11" t="s">
        <v>1888</v>
      </c>
      <c r="G479" s="9" t="s">
        <v>1889</v>
      </c>
      <c r="H479" s="9" t="s">
        <v>1836</v>
      </c>
      <c r="I479" s="9" t="s">
        <v>1837</v>
      </c>
      <c r="J479" s="9" t="s">
        <v>100</v>
      </c>
      <c r="K479" s="12" t="s">
        <v>19</v>
      </c>
      <c r="L479" s="13" t="s">
        <v>20</v>
      </c>
      <c r="M479" s="12" t="s">
        <v>2604</v>
      </c>
      <c r="N479" s="12" t="s">
        <v>2605</v>
      </c>
      <c r="O479" s="12" t="s">
        <v>2606</v>
      </c>
      <c r="P479" s="14" t="s">
        <v>2607</v>
      </c>
      <c r="Q479">
        <v>1</v>
      </c>
      <c r="R479" s="20"/>
    </row>
    <row r="480" spans="1:18" ht="20.100000000000001" customHeight="1">
      <c r="A480" s="7">
        <v>475</v>
      </c>
      <c r="B480" s="8">
        <v>3204262003</v>
      </c>
      <c r="C480" s="9" t="s">
        <v>175</v>
      </c>
      <c r="D480" s="10" t="s">
        <v>22</v>
      </c>
      <c r="E480" s="11" t="s">
        <v>1890</v>
      </c>
      <c r="F480" s="11" t="s">
        <v>1891</v>
      </c>
      <c r="G480" s="9" t="s">
        <v>1892</v>
      </c>
      <c r="H480" s="9" t="s">
        <v>1836</v>
      </c>
      <c r="I480" s="9" t="s">
        <v>1837</v>
      </c>
      <c r="J480" s="9" t="s">
        <v>100</v>
      </c>
      <c r="K480" s="12" t="s">
        <v>19</v>
      </c>
      <c r="L480" s="13" t="s">
        <v>20</v>
      </c>
      <c r="M480" s="12" t="s">
        <v>2604</v>
      </c>
      <c r="N480" s="12" t="s">
        <v>2605</v>
      </c>
      <c r="O480" s="12" t="s">
        <v>2606</v>
      </c>
      <c r="P480" s="14" t="s">
        <v>2607</v>
      </c>
      <c r="Q480">
        <v>1</v>
      </c>
      <c r="R480" s="20"/>
    </row>
    <row r="481" spans="1:18" ht="20.100000000000001" customHeight="1">
      <c r="A481" s="7">
        <v>476</v>
      </c>
      <c r="B481" s="8">
        <v>3204262003</v>
      </c>
      <c r="C481" s="9" t="s">
        <v>196</v>
      </c>
      <c r="D481" s="10" t="s">
        <v>22</v>
      </c>
      <c r="E481" s="11" t="s">
        <v>1893</v>
      </c>
      <c r="F481" s="11" t="s">
        <v>1894</v>
      </c>
      <c r="G481" s="9" t="s">
        <v>1895</v>
      </c>
      <c r="H481" s="9" t="s">
        <v>1836</v>
      </c>
      <c r="I481" s="9" t="s">
        <v>1837</v>
      </c>
      <c r="J481" s="9" t="s">
        <v>100</v>
      </c>
      <c r="K481" s="12" t="s">
        <v>19</v>
      </c>
      <c r="L481" s="13" t="s">
        <v>20</v>
      </c>
      <c r="M481" s="12" t="s">
        <v>2604</v>
      </c>
      <c r="N481" s="12" t="s">
        <v>2605</v>
      </c>
      <c r="O481" s="12" t="s">
        <v>2608</v>
      </c>
      <c r="P481" s="14" t="s">
        <v>2607</v>
      </c>
      <c r="Q481">
        <v>1</v>
      </c>
      <c r="R481" s="20"/>
    </row>
    <row r="482" spans="1:18" ht="20.100000000000001" customHeight="1">
      <c r="A482" s="7">
        <v>477</v>
      </c>
      <c r="B482" s="8">
        <v>3204262003</v>
      </c>
      <c r="C482" s="9" t="s">
        <v>1896</v>
      </c>
      <c r="D482" s="10" t="s">
        <v>22</v>
      </c>
      <c r="E482" s="11" t="s">
        <v>1897</v>
      </c>
      <c r="F482" s="11" t="s">
        <v>1898</v>
      </c>
      <c r="G482" s="9" t="s">
        <v>1858</v>
      </c>
      <c r="H482" s="9" t="s">
        <v>1836</v>
      </c>
      <c r="I482" s="9" t="s">
        <v>1837</v>
      </c>
      <c r="J482" s="9" t="s">
        <v>100</v>
      </c>
      <c r="K482" s="12" t="s">
        <v>19</v>
      </c>
      <c r="L482" s="13" t="s">
        <v>20</v>
      </c>
      <c r="M482" s="12" t="s">
        <v>2604</v>
      </c>
      <c r="N482" s="12" t="s">
        <v>2605</v>
      </c>
      <c r="O482" s="12" t="s">
        <v>2606</v>
      </c>
      <c r="P482" s="14" t="s">
        <v>2607</v>
      </c>
      <c r="Q482">
        <v>1</v>
      </c>
      <c r="R482" s="20"/>
    </row>
    <row r="483" spans="1:18" ht="20.100000000000001" customHeight="1">
      <c r="A483" s="7">
        <v>478</v>
      </c>
      <c r="B483" s="8">
        <v>3204302007</v>
      </c>
      <c r="C483" s="9" t="s">
        <v>78</v>
      </c>
      <c r="D483" s="10" t="s">
        <v>22</v>
      </c>
      <c r="E483" s="11" t="s">
        <v>1899</v>
      </c>
      <c r="F483" s="11" t="s">
        <v>1900</v>
      </c>
      <c r="G483" s="9" t="s">
        <v>1901</v>
      </c>
      <c r="H483" s="9" t="s">
        <v>1902</v>
      </c>
      <c r="I483" s="9" t="s">
        <v>103</v>
      </c>
      <c r="J483" s="9" t="s">
        <v>100</v>
      </c>
      <c r="K483" s="12" t="s">
        <v>19</v>
      </c>
      <c r="L483" s="13" t="s">
        <v>20</v>
      </c>
      <c r="M483" s="12" t="s">
        <v>2604</v>
      </c>
      <c r="N483" s="12" t="s">
        <v>2605</v>
      </c>
      <c r="O483" s="12" t="s">
        <v>2614</v>
      </c>
      <c r="P483" s="14" t="s">
        <v>2615</v>
      </c>
      <c r="Q483">
        <v>1</v>
      </c>
      <c r="R483" s="20">
        <f>SUM(Q483:Q499)</f>
        <v>17</v>
      </c>
    </row>
    <row r="484" spans="1:18" ht="20.100000000000001" customHeight="1">
      <c r="A484" s="7">
        <v>479</v>
      </c>
      <c r="B484" s="8">
        <v>3204302007</v>
      </c>
      <c r="C484" s="9" t="s">
        <v>1903</v>
      </c>
      <c r="D484" s="10" t="s">
        <v>22</v>
      </c>
      <c r="E484" s="11" t="s">
        <v>1904</v>
      </c>
      <c r="F484" s="11" t="s">
        <v>1905</v>
      </c>
      <c r="G484" s="9" t="s">
        <v>1906</v>
      </c>
      <c r="H484" s="9" t="s">
        <v>1902</v>
      </c>
      <c r="I484" s="9" t="s">
        <v>103</v>
      </c>
      <c r="J484" s="9" t="s">
        <v>100</v>
      </c>
      <c r="K484" s="12" t="s">
        <v>19</v>
      </c>
      <c r="L484" s="13" t="s">
        <v>20</v>
      </c>
      <c r="M484" s="12" t="s">
        <v>2604</v>
      </c>
      <c r="N484" s="12" t="s">
        <v>2605</v>
      </c>
      <c r="O484" s="12" t="s">
        <v>2609</v>
      </c>
      <c r="P484" s="14" t="s">
        <v>2610</v>
      </c>
      <c r="Q484">
        <v>1</v>
      </c>
      <c r="R484" s="20"/>
    </row>
    <row r="485" spans="1:18" ht="20.100000000000001" customHeight="1">
      <c r="A485" s="7">
        <v>480</v>
      </c>
      <c r="B485" s="8">
        <v>3204302007</v>
      </c>
      <c r="C485" s="9" t="s">
        <v>1907</v>
      </c>
      <c r="D485" s="10" t="s">
        <v>22</v>
      </c>
      <c r="E485" s="11" t="s">
        <v>1908</v>
      </c>
      <c r="F485" s="11" t="s">
        <v>1909</v>
      </c>
      <c r="G485" s="9" t="s">
        <v>1910</v>
      </c>
      <c r="H485" s="9" t="s">
        <v>1902</v>
      </c>
      <c r="I485" s="9" t="s">
        <v>103</v>
      </c>
      <c r="J485" s="9" t="s">
        <v>100</v>
      </c>
      <c r="K485" s="12" t="s">
        <v>19</v>
      </c>
      <c r="L485" s="13" t="s">
        <v>20</v>
      </c>
      <c r="M485" s="12" t="s">
        <v>2604</v>
      </c>
      <c r="N485" s="12" t="s">
        <v>2605</v>
      </c>
      <c r="O485" s="12" t="s">
        <v>2616</v>
      </c>
      <c r="P485" s="14" t="s">
        <v>2607</v>
      </c>
      <c r="Q485">
        <v>1</v>
      </c>
      <c r="R485" s="20"/>
    </row>
    <row r="486" spans="1:18" ht="20.100000000000001" customHeight="1">
      <c r="A486" s="7">
        <v>481</v>
      </c>
      <c r="B486" s="8">
        <v>3204302007</v>
      </c>
      <c r="C486" s="9" t="s">
        <v>1911</v>
      </c>
      <c r="D486" s="10" t="s">
        <v>18</v>
      </c>
      <c r="E486" s="11" t="s">
        <v>1912</v>
      </c>
      <c r="F486" s="11" t="s">
        <v>1913</v>
      </c>
      <c r="G486" s="9" t="s">
        <v>1910</v>
      </c>
      <c r="H486" s="9" t="s">
        <v>1902</v>
      </c>
      <c r="I486" s="9" t="s">
        <v>103</v>
      </c>
      <c r="J486" s="9" t="s">
        <v>100</v>
      </c>
      <c r="K486" s="12" t="s">
        <v>19</v>
      </c>
      <c r="L486" s="13" t="s">
        <v>20</v>
      </c>
      <c r="M486" s="12" t="s">
        <v>2604</v>
      </c>
      <c r="N486" s="12" t="s">
        <v>2605</v>
      </c>
      <c r="O486" s="12" t="s">
        <v>2611</v>
      </c>
      <c r="P486" s="14" t="s">
        <v>2607</v>
      </c>
      <c r="Q486">
        <v>1</v>
      </c>
      <c r="R486" s="20"/>
    </row>
    <row r="487" spans="1:18" ht="20.100000000000001" customHeight="1">
      <c r="A487" s="7">
        <v>482</v>
      </c>
      <c r="B487" s="8">
        <v>3204302007</v>
      </c>
      <c r="C487" s="9" t="s">
        <v>1914</v>
      </c>
      <c r="D487" s="10" t="s">
        <v>22</v>
      </c>
      <c r="E487" s="11" t="s">
        <v>1915</v>
      </c>
      <c r="F487" s="11" t="s">
        <v>1916</v>
      </c>
      <c r="G487" s="9" t="s">
        <v>1917</v>
      </c>
      <c r="H487" s="9" t="s">
        <v>1902</v>
      </c>
      <c r="I487" s="9" t="s">
        <v>103</v>
      </c>
      <c r="J487" s="9" t="s">
        <v>100</v>
      </c>
      <c r="K487" s="12" t="s">
        <v>19</v>
      </c>
      <c r="L487" s="13" t="s">
        <v>20</v>
      </c>
      <c r="M487" s="12" t="s">
        <v>2604</v>
      </c>
      <c r="N487" s="12" t="s">
        <v>2605</v>
      </c>
      <c r="O487" s="12" t="s">
        <v>2611</v>
      </c>
      <c r="P487" s="14" t="s">
        <v>2607</v>
      </c>
      <c r="Q487">
        <v>1</v>
      </c>
      <c r="R487" s="20"/>
    </row>
    <row r="488" spans="1:18" ht="20.100000000000001" customHeight="1">
      <c r="A488" s="7">
        <v>483</v>
      </c>
      <c r="B488" s="8">
        <v>3204302007</v>
      </c>
      <c r="C488" s="9" t="s">
        <v>1918</v>
      </c>
      <c r="D488" s="10" t="s">
        <v>22</v>
      </c>
      <c r="E488" s="11" t="s">
        <v>1919</v>
      </c>
      <c r="F488" s="11" t="s">
        <v>1920</v>
      </c>
      <c r="G488" s="9" t="s">
        <v>1921</v>
      </c>
      <c r="H488" s="9" t="s">
        <v>1902</v>
      </c>
      <c r="I488" s="9" t="s">
        <v>103</v>
      </c>
      <c r="J488" s="9" t="s">
        <v>100</v>
      </c>
      <c r="K488" s="12" t="s">
        <v>19</v>
      </c>
      <c r="L488" s="13" t="s">
        <v>20</v>
      </c>
      <c r="M488" s="12" t="s">
        <v>2604</v>
      </c>
      <c r="N488" s="12" t="s">
        <v>2605</v>
      </c>
      <c r="O488" s="12" t="s">
        <v>195</v>
      </c>
      <c r="P488" s="14" t="s">
        <v>2621</v>
      </c>
      <c r="Q488">
        <v>1</v>
      </c>
      <c r="R488" s="20"/>
    </row>
    <row r="489" spans="1:18" ht="20.100000000000001" customHeight="1">
      <c r="A489" s="7">
        <v>484</v>
      </c>
      <c r="B489" s="8">
        <v>3204302007</v>
      </c>
      <c r="C489" s="9" t="s">
        <v>1922</v>
      </c>
      <c r="D489" s="10" t="s">
        <v>18</v>
      </c>
      <c r="E489" s="11" t="s">
        <v>1923</v>
      </c>
      <c r="F489" s="11" t="s">
        <v>1924</v>
      </c>
      <c r="G489" s="9" t="s">
        <v>1925</v>
      </c>
      <c r="H489" s="9" t="s">
        <v>1902</v>
      </c>
      <c r="I489" s="9" t="s">
        <v>103</v>
      </c>
      <c r="J489" s="9" t="s">
        <v>100</v>
      </c>
      <c r="K489" s="12" t="s">
        <v>19</v>
      </c>
      <c r="L489" s="13" t="s">
        <v>20</v>
      </c>
      <c r="M489" s="12" t="s">
        <v>2604</v>
      </c>
      <c r="N489" s="12" t="s">
        <v>2605</v>
      </c>
      <c r="O489" s="12" t="s">
        <v>2606</v>
      </c>
      <c r="P489" s="14" t="s">
        <v>2607</v>
      </c>
      <c r="Q489">
        <v>1</v>
      </c>
      <c r="R489" s="20"/>
    </row>
    <row r="490" spans="1:18" ht="20.100000000000001" customHeight="1">
      <c r="A490" s="7">
        <v>485</v>
      </c>
      <c r="B490" s="8">
        <v>3204302007</v>
      </c>
      <c r="C490" s="9" t="s">
        <v>51</v>
      </c>
      <c r="D490" s="10" t="s">
        <v>18</v>
      </c>
      <c r="E490" s="11" t="s">
        <v>1926</v>
      </c>
      <c r="F490" s="11" t="s">
        <v>1927</v>
      </c>
      <c r="G490" s="9" t="s">
        <v>1925</v>
      </c>
      <c r="H490" s="9" t="s">
        <v>1902</v>
      </c>
      <c r="I490" s="9" t="s">
        <v>103</v>
      </c>
      <c r="J490" s="9" t="s">
        <v>100</v>
      </c>
      <c r="K490" s="12" t="s">
        <v>19</v>
      </c>
      <c r="L490" s="13" t="s">
        <v>20</v>
      </c>
      <c r="M490" s="12" t="s">
        <v>2604</v>
      </c>
      <c r="N490" s="12" t="s">
        <v>2605</v>
      </c>
      <c r="O490" s="12" t="s">
        <v>2616</v>
      </c>
      <c r="P490" s="14" t="s">
        <v>2607</v>
      </c>
      <c r="Q490">
        <v>1</v>
      </c>
      <c r="R490" s="20"/>
    </row>
    <row r="491" spans="1:18" ht="20.100000000000001" customHeight="1">
      <c r="A491" s="7">
        <v>486</v>
      </c>
      <c r="B491" s="8">
        <v>3204302007</v>
      </c>
      <c r="C491" s="9" t="s">
        <v>1928</v>
      </c>
      <c r="D491" s="10" t="s">
        <v>22</v>
      </c>
      <c r="E491" s="11" t="s">
        <v>1929</v>
      </c>
      <c r="F491" s="11" t="s">
        <v>1930</v>
      </c>
      <c r="G491" s="9" t="s">
        <v>1931</v>
      </c>
      <c r="H491" s="9" t="s">
        <v>1902</v>
      </c>
      <c r="I491" s="9" t="s">
        <v>103</v>
      </c>
      <c r="J491" s="9" t="s">
        <v>100</v>
      </c>
      <c r="K491" s="12" t="s">
        <v>19</v>
      </c>
      <c r="L491" s="13" t="s">
        <v>20</v>
      </c>
      <c r="M491" s="12" t="s">
        <v>2604</v>
      </c>
      <c r="N491" s="12" t="s">
        <v>2605</v>
      </c>
      <c r="O491" s="12" t="s">
        <v>195</v>
      </c>
      <c r="P491" s="14" t="s">
        <v>2621</v>
      </c>
      <c r="Q491">
        <v>1</v>
      </c>
      <c r="R491" s="20"/>
    </row>
    <row r="492" spans="1:18" ht="20.100000000000001" customHeight="1">
      <c r="A492" s="7">
        <v>487</v>
      </c>
      <c r="B492" s="8">
        <v>3204302007</v>
      </c>
      <c r="C492" s="9" t="s">
        <v>190</v>
      </c>
      <c r="D492" s="10" t="s">
        <v>22</v>
      </c>
      <c r="E492" s="11" t="s">
        <v>1932</v>
      </c>
      <c r="F492" s="11" t="s">
        <v>1933</v>
      </c>
      <c r="G492" s="9" t="s">
        <v>1910</v>
      </c>
      <c r="H492" s="9" t="s">
        <v>1902</v>
      </c>
      <c r="I492" s="9" t="s">
        <v>103</v>
      </c>
      <c r="J492" s="9" t="s">
        <v>100</v>
      </c>
      <c r="K492" s="12" t="s">
        <v>19</v>
      </c>
      <c r="L492" s="13" t="s">
        <v>20</v>
      </c>
      <c r="M492" s="12" t="s">
        <v>2604</v>
      </c>
      <c r="N492" s="12" t="s">
        <v>2605</v>
      </c>
      <c r="O492" s="12" t="s">
        <v>2611</v>
      </c>
      <c r="P492" s="14" t="s">
        <v>2607</v>
      </c>
      <c r="Q492">
        <v>1</v>
      </c>
      <c r="R492" s="20"/>
    </row>
    <row r="493" spans="1:18" ht="20.100000000000001" customHeight="1">
      <c r="A493" s="7">
        <v>488</v>
      </c>
      <c r="B493" s="8">
        <v>3204302007</v>
      </c>
      <c r="C493" s="9" t="s">
        <v>1934</v>
      </c>
      <c r="D493" s="10" t="s">
        <v>22</v>
      </c>
      <c r="E493" s="11" t="s">
        <v>1935</v>
      </c>
      <c r="F493" s="11" t="s">
        <v>1936</v>
      </c>
      <c r="G493" s="9" t="s">
        <v>1937</v>
      </c>
      <c r="H493" s="9" t="s">
        <v>1902</v>
      </c>
      <c r="I493" s="9" t="s">
        <v>103</v>
      </c>
      <c r="J493" s="9" t="s">
        <v>100</v>
      </c>
      <c r="K493" s="12" t="s">
        <v>19</v>
      </c>
      <c r="L493" s="13" t="s">
        <v>20</v>
      </c>
      <c r="M493" s="12" t="s">
        <v>2604</v>
      </c>
      <c r="N493" s="12" t="s">
        <v>2605</v>
      </c>
      <c r="O493" s="12" t="s">
        <v>2628</v>
      </c>
      <c r="P493" s="14" t="s">
        <v>2615</v>
      </c>
      <c r="Q493">
        <v>1</v>
      </c>
      <c r="R493" s="20"/>
    </row>
    <row r="494" spans="1:18" ht="20.100000000000001" customHeight="1">
      <c r="A494" s="7">
        <v>489</v>
      </c>
      <c r="B494" s="8">
        <v>3204302007</v>
      </c>
      <c r="C494" s="9" t="s">
        <v>1938</v>
      </c>
      <c r="D494" s="10" t="s">
        <v>18</v>
      </c>
      <c r="E494" s="11" t="s">
        <v>1939</v>
      </c>
      <c r="F494" s="11" t="s">
        <v>1940</v>
      </c>
      <c r="G494" s="9" t="s">
        <v>1941</v>
      </c>
      <c r="H494" s="9" t="s">
        <v>1902</v>
      </c>
      <c r="I494" s="9" t="s">
        <v>103</v>
      </c>
      <c r="J494" s="9" t="s">
        <v>100</v>
      </c>
      <c r="K494" s="12" t="s">
        <v>19</v>
      </c>
      <c r="L494" s="13" t="s">
        <v>20</v>
      </c>
      <c r="M494" s="12" t="s">
        <v>2604</v>
      </c>
      <c r="N494" s="12" t="s">
        <v>2605</v>
      </c>
      <c r="O494" s="12" t="s">
        <v>2611</v>
      </c>
      <c r="P494" s="14" t="s">
        <v>2607</v>
      </c>
      <c r="Q494">
        <v>1</v>
      </c>
      <c r="R494" s="20"/>
    </row>
    <row r="495" spans="1:18" ht="20.100000000000001" customHeight="1">
      <c r="A495" s="7">
        <v>490</v>
      </c>
      <c r="B495" s="8">
        <v>3204302007</v>
      </c>
      <c r="C495" s="9" t="s">
        <v>1942</v>
      </c>
      <c r="D495" s="10" t="s">
        <v>22</v>
      </c>
      <c r="E495" s="11" t="s">
        <v>1943</v>
      </c>
      <c r="F495" s="11" t="s">
        <v>1944</v>
      </c>
      <c r="G495" s="9" t="s">
        <v>1937</v>
      </c>
      <c r="H495" s="9" t="s">
        <v>1902</v>
      </c>
      <c r="I495" s="9" t="s">
        <v>103</v>
      </c>
      <c r="J495" s="9" t="s">
        <v>100</v>
      </c>
      <c r="K495" s="12" t="s">
        <v>19</v>
      </c>
      <c r="L495" s="13" t="s">
        <v>20</v>
      </c>
      <c r="M495" s="12" t="s">
        <v>2604</v>
      </c>
      <c r="N495" s="12" t="s">
        <v>2605</v>
      </c>
      <c r="O495" s="12" t="s">
        <v>2606</v>
      </c>
      <c r="P495" s="14" t="s">
        <v>2607</v>
      </c>
      <c r="Q495">
        <v>1</v>
      </c>
      <c r="R495" s="20"/>
    </row>
    <row r="496" spans="1:18" ht="20.100000000000001" customHeight="1">
      <c r="A496" s="7">
        <v>491</v>
      </c>
      <c r="B496" s="8">
        <v>3204302007</v>
      </c>
      <c r="C496" s="9" t="s">
        <v>1945</v>
      </c>
      <c r="D496" s="10" t="s">
        <v>22</v>
      </c>
      <c r="E496" s="11" t="s">
        <v>1946</v>
      </c>
      <c r="F496" s="11" t="s">
        <v>1947</v>
      </c>
      <c r="G496" s="9" t="s">
        <v>1948</v>
      </c>
      <c r="H496" s="9" t="s">
        <v>1902</v>
      </c>
      <c r="I496" s="9" t="s">
        <v>103</v>
      </c>
      <c r="J496" s="9" t="s">
        <v>100</v>
      </c>
      <c r="K496" s="12" t="s">
        <v>19</v>
      </c>
      <c r="L496" s="13" t="s">
        <v>20</v>
      </c>
      <c r="M496" s="12" t="s">
        <v>2604</v>
      </c>
      <c r="N496" s="12" t="s">
        <v>2605</v>
      </c>
      <c r="O496" s="12" t="s">
        <v>2627</v>
      </c>
      <c r="P496" s="14" t="s">
        <v>2610</v>
      </c>
      <c r="Q496">
        <v>1</v>
      </c>
      <c r="R496" s="20"/>
    </row>
    <row r="497" spans="1:18" ht="20.100000000000001" customHeight="1">
      <c r="A497" s="7">
        <v>492</v>
      </c>
      <c r="B497" s="8">
        <v>3204302007</v>
      </c>
      <c r="C497" s="9" t="s">
        <v>31</v>
      </c>
      <c r="D497" s="10" t="s">
        <v>22</v>
      </c>
      <c r="E497" s="11" t="s">
        <v>1949</v>
      </c>
      <c r="F497" s="11" t="s">
        <v>1950</v>
      </c>
      <c r="G497" s="9" t="s">
        <v>1948</v>
      </c>
      <c r="H497" s="9" t="s">
        <v>1902</v>
      </c>
      <c r="I497" s="9" t="s">
        <v>103</v>
      </c>
      <c r="J497" s="9" t="s">
        <v>100</v>
      </c>
      <c r="K497" s="12" t="s">
        <v>19</v>
      </c>
      <c r="L497" s="13" t="s">
        <v>20</v>
      </c>
      <c r="M497" s="12" t="s">
        <v>2604</v>
      </c>
      <c r="N497" s="12" t="s">
        <v>2605</v>
      </c>
      <c r="O497" s="12" t="s">
        <v>2608</v>
      </c>
      <c r="P497" s="14" t="s">
        <v>2607</v>
      </c>
      <c r="Q497">
        <v>1</v>
      </c>
      <c r="R497" s="20"/>
    </row>
    <row r="498" spans="1:18" ht="20.100000000000001" customHeight="1">
      <c r="A498" s="7">
        <v>493</v>
      </c>
      <c r="B498" s="8">
        <v>3204302007</v>
      </c>
      <c r="C498" s="9" t="s">
        <v>1951</v>
      </c>
      <c r="D498" s="10" t="s">
        <v>22</v>
      </c>
      <c r="E498" s="11" t="s">
        <v>1952</v>
      </c>
      <c r="F498" s="11" t="s">
        <v>1953</v>
      </c>
      <c r="G498" s="9" t="s">
        <v>1954</v>
      </c>
      <c r="H498" s="9" t="s">
        <v>1902</v>
      </c>
      <c r="I498" s="9" t="s">
        <v>103</v>
      </c>
      <c r="J498" s="9" t="s">
        <v>100</v>
      </c>
      <c r="K498" s="12" t="s">
        <v>19</v>
      </c>
      <c r="L498" s="13" t="s">
        <v>20</v>
      </c>
      <c r="M498" s="12" t="s">
        <v>2604</v>
      </c>
      <c r="N498" s="12" t="s">
        <v>2605</v>
      </c>
      <c r="O498" s="12" t="s">
        <v>2606</v>
      </c>
      <c r="P498" s="14" t="s">
        <v>2607</v>
      </c>
      <c r="Q498">
        <v>1</v>
      </c>
      <c r="R498" s="20"/>
    </row>
    <row r="499" spans="1:18" ht="20.100000000000001" customHeight="1">
      <c r="A499" s="7">
        <v>494</v>
      </c>
      <c r="B499" s="8">
        <v>3204302007</v>
      </c>
      <c r="C499" s="9" t="s">
        <v>1955</v>
      </c>
      <c r="D499" s="10" t="s">
        <v>22</v>
      </c>
      <c r="E499" s="11" t="s">
        <v>1956</v>
      </c>
      <c r="F499" s="11" t="s">
        <v>1957</v>
      </c>
      <c r="G499" s="9" t="s">
        <v>1958</v>
      </c>
      <c r="H499" s="9" t="s">
        <v>1902</v>
      </c>
      <c r="I499" s="9" t="s">
        <v>103</v>
      </c>
      <c r="J499" s="9" t="s">
        <v>100</v>
      </c>
      <c r="K499" s="12" t="s">
        <v>19</v>
      </c>
      <c r="L499" s="13" t="s">
        <v>20</v>
      </c>
      <c r="M499" s="12" t="s">
        <v>2604</v>
      </c>
      <c r="N499" s="12" t="s">
        <v>2605</v>
      </c>
      <c r="O499" s="12" t="s">
        <v>2608</v>
      </c>
      <c r="P499" s="14" t="s">
        <v>2607</v>
      </c>
      <c r="Q499">
        <v>1</v>
      </c>
      <c r="R499" s="20"/>
    </row>
    <row r="500" spans="1:18" ht="20.100000000000001" customHeight="1">
      <c r="A500" s="7">
        <v>495</v>
      </c>
      <c r="B500" s="8">
        <v>3204302009</v>
      </c>
      <c r="C500" s="9" t="s">
        <v>1959</v>
      </c>
      <c r="D500" s="10" t="s">
        <v>18</v>
      </c>
      <c r="E500" s="11" t="s">
        <v>1960</v>
      </c>
      <c r="F500" s="11" t="s">
        <v>1961</v>
      </c>
      <c r="G500" s="9" t="s">
        <v>1962</v>
      </c>
      <c r="H500" s="9" t="s">
        <v>210</v>
      </c>
      <c r="I500" s="9" t="s">
        <v>103</v>
      </c>
      <c r="J500" s="9" t="s">
        <v>100</v>
      </c>
      <c r="K500" s="12" t="s">
        <v>19</v>
      </c>
      <c r="L500" s="13" t="s">
        <v>20</v>
      </c>
      <c r="M500" s="12" t="s">
        <v>2604</v>
      </c>
      <c r="N500" s="12" t="s">
        <v>2605</v>
      </c>
      <c r="O500" s="12" t="s">
        <v>2616</v>
      </c>
      <c r="P500" s="14" t="s">
        <v>2607</v>
      </c>
      <c r="Q500">
        <v>1</v>
      </c>
      <c r="R500" s="20">
        <f>SUM(Q500:Q518)</f>
        <v>19</v>
      </c>
    </row>
    <row r="501" spans="1:18" ht="20.100000000000001" customHeight="1">
      <c r="A501" s="7">
        <v>496</v>
      </c>
      <c r="B501" s="8">
        <v>3204302009</v>
      </c>
      <c r="C501" s="9" t="s">
        <v>118</v>
      </c>
      <c r="D501" s="10" t="s">
        <v>22</v>
      </c>
      <c r="E501" s="11" t="s">
        <v>1963</v>
      </c>
      <c r="F501" s="11" t="s">
        <v>1964</v>
      </c>
      <c r="G501" s="9" t="s">
        <v>1965</v>
      </c>
      <c r="H501" s="9" t="s">
        <v>210</v>
      </c>
      <c r="I501" s="9" t="s">
        <v>103</v>
      </c>
      <c r="J501" s="9" t="s">
        <v>100</v>
      </c>
      <c r="K501" s="12" t="s">
        <v>19</v>
      </c>
      <c r="L501" s="13" t="s">
        <v>20</v>
      </c>
      <c r="M501" s="12" t="s">
        <v>2604</v>
      </c>
      <c r="N501" s="12" t="s">
        <v>2605</v>
      </c>
      <c r="O501" s="12" t="s">
        <v>2608</v>
      </c>
      <c r="P501" s="14" t="s">
        <v>2607</v>
      </c>
      <c r="Q501">
        <v>1</v>
      </c>
      <c r="R501" s="20"/>
    </row>
    <row r="502" spans="1:18" ht="20.100000000000001" customHeight="1">
      <c r="A502" s="7">
        <v>497</v>
      </c>
      <c r="B502" s="8">
        <v>3204302009</v>
      </c>
      <c r="C502" s="9" t="s">
        <v>1966</v>
      </c>
      <c r="D502" s="10" t="s">
        <v>18</v>
      </c>
      <c r="E502" s="11" t="s">
        <v>1967</v>
      </c>
      <c r="F502" s="11" t="s">
        <v>1968</v>
      </c>
      <c r="G502" s="9" t="s">
        <v>1969</v>
      </c>
      <c r="H502" s="9" t="s">
        <v>210</v>
      </c>
      <c r="I502" s="9" t="s">
        <v>103</v>
      </c>
      <c r="J502" s="9" t="s">
        <v>100</v>
      </c>
      <c r="K502" s="12" t="s">
        <v>19</v>
      </c>
      <c r="L502" s="13" t="s">
        <v>20</v>
      </c>
      <c r="M502" s="12" t="s">
        <v>2604</v>
      </c>
      <c r="N502" s="12" t="s">
        <v>2605</v>
      </c>
      <c r="O502" s="12" t="s">
        <v>2606</v>
      </c>
      <c r="P502" s="14" t="s">
        <v>2607</v>
      </c>
      <c r="Q502">
        <v>1</v>
      </c>
      <c r="R502" s="20"/>
    </row>
    <row r="503" spans="1:18" ht="20.100000000000001" customHeight="1">
      <c r="A503" s="7">
        <v>498</v>
      </c>
      <c r="B503" s="8">
        <v>3204302009</v>
      </c>
      <c r="C503" s="9" t="s">
        <v>167</v>
      </c>
      <c r="D503" s="10" t="s">
        <v>18</v>
      </c>
      <c r="E503" s="11" t="s">
        <v>1970</v>
      </c>
      <c r="F503" s="11" t="s">
        <v>1971</v>
      </c>
      <c r="G503" s="9" t="s">
        <v>1972</v>
      </c>
      <c r="H503" s="9" t="s">
        <v>210</v>
      </c>
      <c r="I503" s="9" t="s">
        <v>103</v>
      </c>
      <c r="J503" s="9" t="s">
        <v>100</v>
      </c>
      <c r="K503" s="12" t="s">
        <v>19</v>
      </c>
      <c r="L503" s="13" t="s">
        <v>20</v>
      </c>
      <c r="M503" s="12" t="s">
        <v>2604</v>
      </c>
      <c r="N503" s="12" t="s">
        <v>2605</v>
      </c>
      <c r="O503" s="12" t="s">
        <v>2608</v>
      </c>
      <c r="P503" s="14" t="s">
        <v>2607</v>
      </c>
      <c r="Q503">
        <v>1</v>
      </c>
      <c r="R503" s="20"/>
    </row>
    <row r="504" spans="1:18" ht="20.100000000000001" customHeight="1">
      <c r="A504" s="7">
        <v>499</v>
      </c>
      <c r="B504" s="8">
        <v>3204302009</v>
      </c>
      <c r="C504" s="9" t="s">
        <v>1973</v>
      </c>
      <c r="D504" s="10" t="s">
        <v>22</v>
      </c>
      <c r="E504" s="11" t="s">
        <v>1974</v>
      </c>
      <c r="F504" s="11" t="s">
        <v>1975</v>
      </c>
      <c r="G504" s="9" t="s">
        <v>1976</v>
      </c>
      <c r="H504" s="9" t="s">
        <v>210</v>
      </c>
      <c r="I504" s="9" t="s">
        <v>103</v>
      </c>
      <c r="J504" s="9" t="s">
        <v>100</v>
      </c>
      <c r="K504" s="12" t="s">
        <v>19</v>
      </c>
      <c r="L504" s="13" t="s">
        <v>20</v>
      </c>
      <c r="M504" s="12" t="s">
        <v>2604</v>
      </c>
      <c r="N504" s="12" t="s">
        <v>2605</v>
      </c>
      <c r="O504" s="12" t="s">
        <v>2611</v>
      </c>
      <c r="P504" s="14" t="s">
        <v>2607</v>
      </c>
      <c r="Q504">
        <v>1</v>
      </c>
      <c r="R504" s="20"/>
    </row>
    <row r="505" spans="1:18" ht="20.100000000000001" customHeight="1">
      <c r="A505" s="7">
        <v>500</v>
      </c>
      <c r="B505" s="8">
        <v>3204302009</v>
      </c>
      <c r="C505" s="9" t="s">
        <v>164</v>
      </c>
      <c r="D505" s="10" t="s">
        <v>22</v>
      </c>
      <c r="E505" s="11" t="s">
        <v>1977</v>
      </c>
      <c r="F505" s="11" t="s">
        <v>1978</v>
      </c>
      <c r="G505" s="9" t="s">
        <v>1979</v>
      </c>
      <c r="H505" s="9" t="s">
        <v>210</v>
      </c>
      <c r="I505" s="9" t="s">
        <v>103</v>
      </c>
      <c r="J505" s="9" t="s">
        <v>100</v>
      </c>
      <c r="K505" s="12" t="s">
        <v>19</v>
      </c>
      <c r="L505" s="13" t="s">
        <v>20</v>
      </c>
      <c r="M505" s="12" t="s">
        <v>2604</v>
      </c>
      <c r="N505" s="12" t="s">
        <v>2605</v>
      </c>
      <c r="O505" s="12" t="s">
        <v>2611</v>
      </c>
      <c r="P505" s="14" t="s">
        <v>2607</v>
      </c>
      <c r="Q505">
        <v>1</v>
      </c>
      <c r="R505" s="20"/>
    </row>
    <row r="506" spans="1:18" ht="20.100000000000001" customHeight="1">
      <c r="A506" s="7">
        <v>501</v>
      </c>
      <c r="B506" s="8">
        <v>3204302009</v>
      </c>
      <c r="C506" s="9" t="s">
        <v>41</v>
      </c>
      <c r="D506" s="10" t="s">
        <v>18</v>
      </c>
      <c r="E506" s="11" t="s">
        <v>1980</v>
      </c>
      <c r="F506" s="11" t="s">
        <v>1981</v>
      </c>
      <c r="G506" s="9" t="s">
        <v>1982</v>
      </c>
      <c r="H506" s="9" t="s">
        <v>210</v>
      </c>
      <c r="I506" s="9" t="s">
        <v>103</v>
      </c>
      <c r="J506" s="9" t="s">
        <v>100</v>
      </c>
      <c r="K506" s="12" t="s">
        <v>19</v>
      </c>
      <c r="L506" s="13" t="s">
        <v>20</v>
      </c>
      <c r="M506" s="12" t="s">
        <v>2604</v>
      </c>
      <c r="N506" s="12" t="s">
        <v>2605</v>
      </c>
      <c r="O506" s="12" t="s">
        <v>2611</v>
      </c>
      <c r="P506" s="14" t="s">
        <v>2607</v>
      </c>
      <c r="Q506">
        <v>1</v>
      </c>
      <c r="R506" s="20"/>
    </row>
    <row r="507" spans="1:18" ht="20.100000000000001" customHeight="1">
      <c r="A507" s="7">
        <v>502</v>
      </c>
      <c r="B507" s="8">
        <v>3204302009</v>
      </c>
      <c r="C507" s="9" t="s">
        <v>58</v>
      </c>
      <c r="D507" s="10" t="s">
        <v>18</v>
      </c>
      <c r="E507" s="11" t="s">
        <v>1983</v>
      </c>
      <c r="F507" s="11" t="s">
        <v>1984</v>
      </c>
      <c r="G507" s="9" t="s">
        <v>1979</v>
      </c>
      <c r="H507" s="9" t="s">
        <v>210</v>
      </c>
      <c r="I507" s="9" t="s">
        <v>103</v>
      </c>
      <c r="J507" s="9" t="s">
        <v>100</v>
      </c>
      <c r="K507" s="12" t="s">
        <v>19</v>
      </c>
      <c r="L507" s="13" t="s">
        <v>20</v>
      </c>
      <c r="M507" s="12" t="s">
        <v>2604</v>
      </c>
      <c r="N507" s="12" t="s">
        <v>2605</v>
      </c>
      <c r="O507" s="12" t="s">
        <v>2616</v>
      </c>
      <c r="P507" s="14" t="s">
        <v>2607</v>
      </c>
      <c r="Q507">
        <v>1</v>
      </c>
      <c r="R507" s="20"/>
    </row>
    <row r="508" spans="1:18" ht="20.100000000000001" customHeight="1">
      <c r="A508" s="7">
        <v>503</v>
      </c>
      <c r="B508" s="8">
        <v>3204302009</v>
      </c>
      <c r="C508" s="9" t="s">
        <v>1985</v>
      </c>
      <c r="D508" s="10" t="s">
        <v>22</v>
      </c>
      <c r="E508" s="11" t="s">
        <v>1986</v>
      </c>
      <c r="F508" s="11" t="s">
        <v>1987</v>
      </c>
      <c r="G508" s="9" t="s">
        <v>1988</v>
      </c>
      <c r="H508" s="9" t="s">
        <v>210</v>
      </c>
      <c r="I508" s="9" t="s">
        <v>103</v>
      </c>
      <c r="J508" s="9" t="s">
        <v>100</v>
      </c>
      <c r="K508" s="12" t="s">
        <v>19</v>
      </c>
      <c r="L508" s="13" t="s">
        <v>20</v>
      </c>
      <c r="M508" s="12" t="s">
        <v>2604</v>
      </c>
      <c r="N508" s="12" t="s">
        <v>2605</v>
      </c>
      <c r="O508" s="12" t="s">
        <v>2611</v>
      </c>
      <c r="P508" s="14" t="s">
        <v>2607</v>
      </c>
      <c r="Q508">
        <v>1</v>
      </c>
      <c r="R508" s="20"/>
    </row>
    <row r="509" spans="1:18" ht="20.100000000000001" customHeight="1">
      <c r="A509" s="7">
        <v>504</v>
      </c>
      <c r="B509" s="8">
        <v>3204302009</v>
      </c>
      <c r="C509" s="9" t="s">
        <v>1989</v>
      </c>
      <c r="D509" s="10" t="s">
        <v>22</v>
      </c>
      <c r="E509" s="11" t="s">
        <v>1990</v>
      </c>
      <c r="F509" s="11" t="s">
        <v>1991</v>
      </c>
      <c r="G509" s="9" t="s">
        <v>1992</v>
      </c>
      <c r="H509" s="9" t="s">
        <v>210</v>
      </c>
      <c r="I509" s="9" t="s">
        <v>103</v>
      </c>
      <c r="J509" s="9" t="s">
        <v>100</v>
      </c>
      <c r="K509" s="12" t="s">
        <v>19</v>
      </c>
      <c r="L509" s="13" t="s">
        <v>20</v>
      </c>
      <c r="M509" s="12" t="s">
        <v>2604</v>
      </c>
      <c r="N509" s="12" t="s">
        <v>2605</v>
      </c>
      <c r="O509" s="12" t="s">
        <v>2606</v>
      </c>
      <c r="P509" s="14" t="s">
        <v>2607</v>
      </c>
      <c r="Q509">
        <v>1</v>
      </c>
      <c r="R509" s="20"/>
    </row>
    <row r="510" spans="1:18" ht="20.100000000000001" customHeight="1">
      <c r="A510" s="7">
        <v>505</v>
      </c>
      <c r="B510" s="8">
        <v>3204302009</v>
      </c>
      <c r="C510" s="9" t="s">
        <v>1993</v>
      </c>
      <c r="D510" s="10" t="s">
        <v>18</v>
      </c>
      <c r="E510" s="11" t="s">
        <v>1994</v>
      </c>
      <c r="F510" s="11" t="s">
        <v>1995</v>
      </c>
      <c r="G510" s="9" t="s">
        <v>1996</v>
      </c>
      <c r="H510" s="9" t="s">
        <v>210</v>
      </c>
      <c r="I510" s="9" t="s">
        <v>103</v>
      </c>
      <c r="J510" s="9" t="s">
        <v>100</v>
      </c>
      <c r="K510" s="12" t="s">
        <v>19</v>
      </c>
      <c r="L510" s="13" t="s">
        <v>20</v>
      </c>
      <c r="M510" s="12" t="s">
        <v>2604</v>
      </c>
      <c r="N510" s="12" t="s">
        <v>2605</v>
      </c>
      <c r="O510" s="12" t="s">
        <v>2609</v>
      </c>
      <c r="P510" s="14" t="s">
        <v>2610</v>
      </c>
      <c r="Q510">
        <v>1</v>
      </c>
      <c r="R510" s="20"/>
    </row>
    <row r="511" spans="1:18" ht="20.100000000000001" customHeight="1">
      <c r="A511" s="7">
        <v>506</v>
      </c>
      <c r="B511" s="8">
        <v>3204302009</v>
      </c>
      <c r="C511" s="9" t="s">
        <v>29</v>
      </c>
      <c r="D511" s="10" t="s">
        <v>22</v>
      </c>
      <c r="E511" s="11" t="s">
        <v>1997</v>
      </c>
      <c r="F511" s="11" t="s">
        <v>1998</v>
      </c>
      <c r="G511" s="9" t="s">
        <v>1992</v>
      </c>
      <c r="H511" s="9" t="s">
        <v>210</v>
      </c>
      <c r="I511" s="9" t="s">
        <v>103</v>
      </c>
      <c r="J511" s="9" t="s">
        <v>100</v>
      </c>
      <c r="K511" s="12" t="s">
        <v>19</v>
      </c>
      <c r="L511" s="13" t="s">
        <v>20</v>
      </c>
      <c r="M511" s="12" t="s">
        <v>2604</v>
      </c>
      <c r="N511" s="12" t="s">
        <v>2605</v>
      </c>
      <c r="O511" s="12" t="s">
        <v>2611</v>
      </c>
      <c r="P511" s="14" t="s">
        <v>2607</v>
      </c>
      <c r="Q511">
        <v>1</v>
      </c>
      <c r="R511" s="20"/>
    </row>
    <row r="512" spans="1:18" ht="20.100000000000001" customHeight="1">
      <c r="A512" s="7">
        <v>507</v>
      </c>
      <c r="B512" s="8">
        <v>3204302009</v>
      </c>
      <c r="C512" s="9" t="s">
        <v>1999</v>
      </c>
      <c r="D512" s="10" t="s">
        <v>22</v>
      </c>
      <c r="E512" s="11" t="s">
        <v>2000</v>
      </c>
      <c r="F512" s="11" t="s">
        <v>2001</v>
      </c>
      <c r="G512" s="9" t="s">
        <v>2002</v>
      </c>
      <c r="H512" s="9" t="s">
        <v>210</v>
      </c>
      <c r="I512" s="9" t="s">
        <v>103</v>
      </c>
      <c r="J512" s="9" t="s">
        <v>100</v>
      </c>
      <c r="K512" s="12" t="s">
        <v>19</v>
      </c>
      <c r="L512" s="13" t="s">
        <v>20</v>
      </c>
      <c r="M512" s="12" t="s">
        <v>2604</v>
      </c>
      <c r="N512" s="12" t="s">
        <v>2605</v>
      </c>
      <c r="O512" s="12" t="s">
        <v>2611</v>
      </c>
      <c r="P512" s="14" t="s">
        <v>2607</v>
      </c>
      <c r="Q512">
        <v>1</v>
      </c>
      <c r="R512" s="20"/>
    </row>
    <row r="513" spans="1:18" ht="20.100000000000001" customHeight="1">
      <c r="A513" s="7">
        <v>508</v>
      </c>
      <c r="B513" s="8">
        <v>3204302009</v>
      </c>
      <c r="C513" s="9" t="s">
        <v>39</v>
      </c>
      <c r="D513" s="10" t="s">
        <v>18</v>
      </c>
      <c r="E513" s="11" t="s">
        <v>2003</v>
      </c>
      <c r="F513" s="11" t="s">
        <v>2004</v>
      </c>
      <c r="G513" s="9" t="s">
        <v>2005</v>
      </c>
      <c r="H513" s="9" t="s">
        <v>210</v>
      </c>
      <c r="I513" s="9" t="s">
        <v>103</v>
      </c>
      <c r="J513" s="9" t="s">
        <v>100</v>
      </c>
      <c r="K513" s="12" t="s">
        <v>19</v>
      </c>
      <c r="L513" s="13" t="s">
        <v>20</v>
      </c>
      <c r="M513" s="12" t="s">
        <v>2604</v>
      </c>
      <c r="N513" s="12" t="s">
        <v>2605</v>
      </c>
      <c r="O513" s="12" t="s">
        <v>2616</v>
      </c>
      <c r="P513" s="14" t="s">
        <v>2607</v>
      </c>
      <c r="Q513">
        <v>1</v>
      </c>
      <c r="R513" s="20"/>
    </row>
    <row r="514" spans="1:18" ht="20.100000000000001" customHeight="1">
      <c r="A514" s="7">
        <v>509</v>
      </c>
      <c r="B514" s="8">
        <v>3204302009</v>
      </c>
      <c r="C514" s="9" t="s">
        <v>2006</v>
      </c>
      <c r="D514" s="10" t="s">
        <v>18</v>
      </c>
      <c r="E514" s="11" t="s">
        <v>2007</v>
      </c>
      <c r="F514" s="11" t="s">
        <v>2008</v>
      </c>
      <c r="G514" s="9" t="s">
        <v>2009</v>
      </c>
      <c r="H514" s="9" t="s">
        <v>210</v>
      </c>
      <c r="I514" s="9" t="s">
        <v>103</v>
      </c>
      <c r="J514" s="9" t="s">
        <v>100</v>
      </c>
      <c r="K514" s="12" t="s">
        <v>19</v>
      </c>
      <c r="L514" s="13" t="s">
        <v>20</v>
      </c>
      <c r="M514" s="12" t="s">
        <v>2604</v>
      </c>
      <c r="N514" s="12" t="s">
        <v>2605</v>
      </c>
      <c r="O514" s="12" t="s">
        <v>2611</v>
      </c>
      <c r="P514" s="14" t="s">
        <v>2607</v>
      </c>
      <c r="Q514">
        <v>1</v>
      </c>
      <c r="R514" s="20"/>
    </row>
    <row r="515" spans="1:18" ht="20.100000000000001" customHeight="1">
      <c r="A515" s="7">
        <v>510</v>
      </c>
      <c r="B515" s="8">
        <v>3204302009</v>
      </c>
      <c r="C515" s="9" t="s">
        <v>201</v>
      </c>
      <c r="D515" s="10" t="s">
        <v>22</v>
      </c>
      <c r="E515" s="11" t="s">
        <v>2010</v>
      </c>
      <c r="F515" s="11" t="s">
        <v>2011</v>
      </c>
      <c r="G515" s="9" t="s">
        <v>2012</v>
      </c>
      <c r="H515" s="9" t="s">
        <v>210</v>
      </c>
      <c r="I515" s="9" t="s">
        <v>103</v>
      </c>
      <c r="J515" s="9" t="s">
        <v>100</v>
      </c>
      <c r="K515" s="12" t="s">
        <v>19</v>
      </c>
      <c r="L515" s="13" t="s">
        <v>20</v>
      </c>
      <c r="M515" s="12" t="s">
        <v>2604</v>
      </c>
      <c r="N515" s="12" t="s">
        <v>2605</v>
      </c>
      <c r="O515" s="12" t="s">
        <v>2611</v>
      </c>
      <c r="P515" s="14" t="s">
        <v>2607</v>
      </c>
      <c r="Q515">
        <v>1</v>
      </c>
      <c r="R515" s="20"/>
    </row>
    <row r="516" spans="1:18" ht="20.100000000000001" customHeight="1">
      <c r="A516" s="7">
        <v>511</v>
      </c>
      <c r="B516" s="8">
        <v>3204302009</v>
      </c>
      <c r="C516" s="9" t="s">
        <v>2013</v>
      </c>
      <c r="D516" s="10" t="s">
        <v>22</v>
      </c>
      <c r="E516" s="11" t="s">
        <v>2014</v>
      </c>
      <c r="F516" s="11" t="s">
        <v>2015</v>
      </c>
      <c r="G516" s="9" t="s">
        <v>2016</v>
      </c>
      <c r="H516" s="9" t="s">
        <v>210</v>
      </c>
      <c r="I516" s="9" t="s">
        <v>103</v>
      </c>
      <c r="J516" s="9" t="s">
        <v>100</v>
      </c>
      <c r="K516" s="12" t="s">
        <v>19</v>
      </c>
      <c r="L516" s="13" t="s">
        <v>20</v>
      </c>
      <c r="M516" s="12" t="s">
        <v>2604</v>
      </c>
      <c r="N516" s="12" t="s">
        <v>2605</v>
      </c>
      <c r="O516" s="12" t="s">
        <v>2611</v>
      </c>
      <c r="P516" s="14" t="s">
        <v>2607</v>
      </c>
      <c r="Q516">
        <v>1</v>
      </c>
      <c r="R516" s="20"/>
    </row>
    <row r="517" spans="1:18" ht="20.100000000000001" customHeight="1">
      <c r="A517" s="7">
        <v>512</v>
      </c>
      <c r="B517" s="8">
        <v>3204302009</v>
      </c>
      <c r="C517" s="9" t="s">
        <v>81</v>
      </c>
      <c r="D517" s="10" t="s">
        <v>22</v>
      </c>
      <c r="E517" s="11" t="s">
        <v>2017</v>
      </c>
      <c r="F517" s="11" t="s">
        <v>2018</v>
      </c>
      <c r="G517" s="9" t="s">
        <v>2019</v>
      </c>
      <c r="H517" s="9" t="s">
        <v>210</v>
      </c>
      <c r="I517" s="9" t="s">
        <v>103</v>
      </c>
      <c r="J517" s="9" t="s">
        <v>100</v>
      </c>
      <c r="K517" s="12" t="s">
        <v>19</v>
      </c>
      <c r="L517" s="13" t="s">
        <v>20</v>
      </c>
      <c r="M517" s="12" t="s">
        <v>2604</v>
      </c>
      <c r="N517" s="12" t="s">
        <v>2605</v>
      </c>
      <c r="O517" s="12" t="s">
        <v>2606</v>
      </c>
      <c r="P517" s="14" t="s">
        <v>2607</v>
      </c>
      <c r="Q517">
        <v>1</v>
      </c>
      <c r="R517" s="20"/>
    </row>
    <row r="518" spans="1:18" ht="20.100000000000001" customHeight="1">
      <c r="A518" s="7">
        <v>513</v>
      </c>
      <c r="B518" s="8">
        <v>3204302009</v>
      </c>
      <c r="C518" s="9" t="s">
        <v>2020</v>
      </c>
      <c r="D518" s="10" t="s">
        <v>22</v>
      </c>
      <c r="E518" s="11" t="s">
        <v>2021</v>
      </c>
      <c r="F518" s="11" t="s">
        <v>2022</v>
      </c>
      <c r="G518" s="9" t="s">
        <v>2023</v>
      </c>
      <c r="H518" s="9" t="s">
        <v>210</v>
      </c>
      <c r="I518" s="9" t="s">
        <v>103</v>
      </c>
      <c r="J518" s="9" t="s">
        <v>100</v>
      </c>
      <c r="K518" s="12" t="s">
        <v>19</v>
      </c>
      <c r="L518" s="13" t="s">
        <v>20</v>
      </c>
      <c r="M518" s="12" t="s">
        <v>2604</v>
      </c>
      <c r="N518" s="12" t="s">
        <v>2605</v>
      </c>
      <c r="O518" s="12" t="s">
        <v>2616</v>
      </c>
      <c r="P518" s="14" t="s">
        <v>2607</v>
      </c>
      <c r="Q518">
        <v>1</v>
      </c>
      <c r="R518" s="20"/>
    </row>
    <row r="519" spans="1:18" ht="20.100000000000001" customHeight="1">
      <c r="A519" s="7">
        <v>514</v>
      </c>
      <c r="B519" s="8">
        <v>3204152005</v>
      </c>
      <c r="C519" s="9" t="s">
        <v>2024</v>
      </c>
      <c r="D519" s="10" t="s">
        <v>22</v>
      </c>
      <c r="E519" s="11" t="s">
        <v>2025</v>
      </c>
      <c r="F519" s="11" t="s">
        <v>2026</v>
      </c>
      <c r="G519" s="9" t="s">
        <v>2027</v>
      </c>
      <c r="H519" s="9" t="s">
        <v>2028</v>
      </c>
      <c r="I519" s="9" t="s">
        <v>105</v>
      </c>
      <c r="J519" s="9" t="s">
        <v>100</v>
      </c>
      <c r="K519" s="12" t="s">
        <v>19</v>
      </c>
      <c r="L519" s="13" t="s">
        <v>20</v>
      </c>
      <c r="M519" s="12" t="s">
        <v>2604</v>
      </c>
      <c r="N519" s="12" t="s">
        <v>2605</v>
      </c>
      <c r="O519" s="12" t="s">
        <v>2611</v>
      </c>
      <c r="P519" s="14" t="s">
        <v>2607</v>
      </c>
      <c r="Q519">
        <v>1</v>
      </c>
      <c r="R519" s="20">
        <f>SUM(Q519:Q533)</f>
        <v>15</v>
      </c>
    </row>
    <row r="520" spans="1:18" ht="20.100000000000001" customHeight="1">
      <c r="A520" s="7">
        <v>515</v>
      </c>
      <c r="B520" s="8">
        <v>3204152005</v>
      </c>
      <c r="C520" s="9" t="s">
        <v>2029</v>
      </c>
      <c r="D520" s="10" t="s">
        <v>22</v>
      </c>
      <c r="E520" s="11" t="s">
        <v>2030</v>
      </c>
      <c r="F520" s="11" t="s">
        <v>2031</v>
      </c>
      <c r="G520" s="9" t="s">
        <v>2032</v>
      </c>
      <c r="H520" s="9" t="s">
        <v>2028</v>
      </c>
      <c r="I520" s="9" t="s">
        <v>105</v>
      </c>
      <c r="J520" s="9" t="s">
        <v>100</v>
      </c>
      <c r="K520" s="12" t="s">
        <v>19</v>
      </c>
      <c r="L520" s="13" t="s">
        <v>20</v>
      </c>
      <c r="M520" s="12" t="s">
        <v>2604</v>
      </c>
      <c r="N520" s="12" t="s">
        <v>2605</v>
      </c>
      <c r="O520" s="12" t="s">
        <v>2611</v>
      </c>
      <c r="P520" s="14" t="s">
        <v>2607</v>
      </c>
      <c r="Q520">
        <v>1</v>
      </c>
      <c r="R520" s="20"/>
    </row>
    <row r="521" spans="1:18" ht="20.100000000000001" customHeight="1">
      <c r="A521" s="7">
        <v>516</v>
      </c>
      <c r="B521" s="8">
        <v>3204152005</v>
      </c>
      <c r="C521" s="9" t="s">
        <v>2033</v>
      </c>
      <c r="D521" s="10" t="s">
        <v>22</v>
      </c>
      <c r="E521" s="11" t="s">
        <v>2034</v>
      </c>
      <c r="F521" s="11" t="s">
        <v>2035</v>
      </c>
      <c r="G521" s="9" t="s">
        <v>2036</v>
      </c>
      <c r="H521" s="9" t="s">
        <v>2028</v>
      </c>
      <c r="I521" s="9" t="s">
        <v>105</v>
      </c>
      <c r="J521" s="9" t="s">
        <v>100</v>
      </c>
      <c r="K521" s="12" t="s">
        <v>19</v>
      </c>
      <c r="L521" s="13" t="s">
        <v>20</v>
      </c>
      <c r="M521" s="12" t="s">
        <v>2604</v>
      </c>
      <c r="N521" s="12" t="s">
        <v>2605</v>
      </c>
      <c r="O521" s="12" t="s">
        <v>2616</v>
      </c>
      <c r="P521" s="14" t="s">
        <v>2607</v>
      </c>
      <c r="Q521">
        <v>1</v>
      </c>
      <c r="R521" s="20"/>
    </row>
    <row r="522" spans="1:18" ht="20.100000000000001" customHeight="1">
      <c r="A522" s="7">
        <v>517</v>
      </c>
      <c r="B522" s="8">
        <v>3204152005</v>
      </c>
      <c r="C522" s="9" t="s">
        <v>60</v>
      </c>
      <c r="D522" s="10" t="s">
        <v>22</v>
      </c>
      <c r="E522" s="11" t="s">
        <v>2037</v>
      </c>
      <c r="F522" s="11" t="s">
        <v>2038</v>
      </c>
      <c r="G522" s="9" t="s">
        <v>2039</v>
      </c>
      <c r="H522" s="9" t="s">
        <v>2028</v>
      </c>
      <c r="I522" s="9" t="s">
        <v>105</v>
      </c>
      <c r="J522" s="9" t="s">
        <v>100</v>
      </c>
      <c r="K522" s="12" t="s">
        <v>19</v>
      </c>
      <c r="L522" s="13" t="s">
        <v>20</v>
      </c>
      <c r="M522" s="12" t="s">
        <v>2604</v>
      </c>
      <c r="N522" s="12" t="s">
        <v>2605</v>
      </c>
      <c r="O522" s="12" t="s">
        <v>2608</v>
      </c>
      <c r="P522" s="14" t="s">
        <v>2607</v>
      </c>
      <c r="Q522">
        <v>1</v>
      </c>
      <c r="R522" s="20"/>
    </row>
    <row r="523" spans="1:18" ht="20.100000000000001" customHeight="1">
      <c r="A523" s="7">
        <v>518</v>
      </c>
      <c r="B523" s="8">
        <v>3204152005</v>
      </c>
      <c r="C523" s="9" t="s">
        <v>2040</v>
      </c>
      <c r="D523" s="10" t="s">
        <v>22</v>
      </c>
      <c r="E523" s="11" t="s">
        <v>2041</v>
      </c>
      <c r="F523" s="11" t="s">
        <v>2042</v>
      </c>
      <c r="G523" s="9" t="s">
        <v>2043</v>
      </c>
      <c r="H523" s="9" t="s">
        <v>2028</v>
      </c>
      <c r="I523" s="9" t="s">
        <v>105</v>
      </c>
      <c r="J523" s="9" t="s">
        <v>100</v>
      </c>
      <c r="K523" s="12" t="s">
        <v>19</v>
      </c>
      <c r="L523" s="13" t="s">
        <v>20</v>
      </c>
      <c r="M523" s="12" t="s">
        <v>2604</v>
      </c>
      <c r="N523" s="12" t="s">
        <v>2605</v>
      </c>
      <c r="O523" s="12" t="s">
        <v>2617</v>
      </c>
      <c r="P523" s="14" t="s">
        <v>2610</v>
      </c>
      <c r="Q523">
        <v>1</v>
      </c>
      <c r="R523" s="20"/>
    </row>
    <row r="524" spans="1:18" ht="20.100000000000001" customHeight="1">
      <c r="A524" s="7">
        <v>519</v>
      </c>
      <c r="B524" s="8">
        <v>3204152005</v>
      </c>
      <c r="C524" s="9" t="s">
        <v>2044</v>
      </c>
      <c r="D524" s="10" t="s">
        <v>22</v>
      </c>
      <c r="E524" s="11" t="s">
        <v>2045</v>
      </c>
      <c r="F524" s="11" t="s">
        <v>2046</v>
      </c>
      <c r="G524" s="9" t="s">
        <v>2047</v>
      </c>
      <c r="H524" s="9" t="s">
        <v>2028</v>
      </c>
      <c r="I524" s="9" t="s">
        <v>105</v>
      </c>
      <c r="J524" s="9" t="s">
        <v>100</v>
      </c>
      <c r="K524" s="12" t="s">
        <v>19</v>
      </c>
      <c r="L524" s="13" t="s">
        <v>20</v>
      </c>
      <c r="M524" s="12" t="s">
        <v>2604</v>
      </c>
      <c r="N524" s="12" t="s">
        <v>2605</v>
      </c>
      <c r="O524" s="12" t="s">
        <v>2609</v>
      </c>
      <c r="P524" s="14" t="s">
        <v>2610</v>
      </c>
      <c r="Q524">
        <v>1</v>
      </c>
      <c r="R524" s="20"/>
    </row>
    <row r="525" spans="1:18" ht="20.100000000000001" customHeight="1">
      <c r="A525" s="7">
        <v>520</v>
      </c>
      <c r="B525" s="8">
        <v>3204152005</v>
      </c>
      <c r="C525" s="9" t="s">
        <v>24</v>
      </c>
      <c r="D525" s="10" t="s">
        <v>22</v>
      </c>
      <c r="E525" s="11" t="s">
        <v>2048</v>
      </c>
      <c r="F525" s="11" t="s">
        <v>2049</v>
      </c>
      <c r="G525" s="9" t="s">
        <v>2050</v>
      </c>
      <c r="H525" s="9" t="s">
        <v>2028</v>
      </c>
      <c r="I525" s="9" t="s">
        <v>105</v>
      </c>
      <c r="J525" s="9" t="s">
        <v>100</v>
      </c>
      <c r="K525" s="12" t="s">
        <v>19</v>
      </c>
      <c r="L525" s="13" t="s">
        <v>20</v>
      </c>
      <c r="M525" s="12" t="s">
        <v>2604</v>
      </c>
      <c r="N525" s="12" t="s">
        <v>2605</v>
      </c>
      <c r="O525" s="12" t="s">
        <v>2611</v>
      </c>
      <c r="P525" s="14" t="s">
        <v>2607</v>
      </c>
      <c r="Q525">
        <v>1</v>
      </c>
      <c r="R525" s="20"/>
    </row>
    <row r="526" spans="1:18" ht="20.100000000000001" customHeight="1">
      <c r="A526" s="7">
        <v>521</v>
      </c>
      <c r="B526" s="8">
        <v>3204152005</v>
      </c>
      <c r="C526" s="9" t="s">
        <v>2051</v>
      </c>
      <c r="D526" s="10" t="s">
        <v>22</v>
      </c>
      <c r="E526" s="11" t="s">
        <v>2052</v>
      </c>
      <c r="F526" s="11" t="s">
        <v>2053</v>
      </c>
      <c r="G526" s="9" t="s">
        <v>2054</v>
      </c>
      <c r="H526" s="9" t="s">
        <v>2028</v>
      </c>
      <c r="I526" s="9" t="s">
        <v>105</v>
      </c>
      <c r="J526" s="9" t="s">
        <v>100</v>
      </c>
      <c r="K526" s="12" t="s">
        <v>19</v>
      </c>
      <c r="L526" s="13" t="s">
        <v>20</v>
      </c>
      <c r="M526" s="12" t="s">
        <v>2604</v>
      </c>
      <c r="N526" s="12" t="s">
        <v>2605</v>
      </c>
      <c r="O526" s="12" t="s">
        <v>2611</v>
      </c>
      <c r="P526" s="14" t="s">
        <v>2607</v>
      </c>
      <c r="Q526">
        <v>1</v>
      </c>
      <c r="R526" s="20"/>
    </row>
    <row r="527" spans="1:18" ht="20.100000000000001" customHeight="1">
      <c r="A527" s="7">
        <v>522</v>
      </c>
      <c r="B527" s="8">
        <v>3204152005</v>
      </c>
      <c r="C527" s="9" t="s">
        <v>191</v>
      </c>
      <c r="D527" s="10" t="s">
        <v>22</v>
      </c>
      <c r="E527" s="11" t="s">
        <v>2055</v>
      </c>
      <c r="F527" s="11" t="s">
        <v>2056</v>
      </c>
      <c r="G527" s="9" t="s">
        <v>2057</v>
      </c>
      <c r="H527" s="9" t="s">
        <v>2028</v>
      </c>
      <c r="I527" s="9" t="s">
        <v>105</v>
      </c>
      <c r="J527" s="9" t="s">
        <v>100</v>
      </c>
      <c r="K527" s="12" t="s">
        <v>19</v>
      </c>
      <c r="L527" s="13" t="s">
        <v>20</v>
      </c>
      <c r="M527" s="12" t="s">
        <v>2604</v>
      </c>
      <c r="N527" s="12" t="s">
        <v>2605</v>
      </c>
      <c r="O527" s="12" t="s">
        <v>2611</v>
      </c>
      <c r="P527" s="14" t="s">
        <v>2607</v>
      </c>
      <c r="Q527">
        <v>1</v>
      </c>
      <c r="R527" s="20"/>
    </row>
    <row r="528" spans="1:18" ht="20.100000000000001" customHeight="1">
      <c r="A528" s="7">
        <v>523</v>
      </c>
      <c r="B528" s="8">
        <v>3204152005</v>
      </c>
      <c r="C528" s="9" t="s">
        <v>2058</v>
      </c>
      <c r="D528" s="10" t="s">
        <v>22</v>
      </c>
      <c r="E528" s="11" t="s">
        <v>2059</v>
      </c>
      <c r="F528" s="11" t="s">
        <v>2060</v>
      </c>
      <c r="G528" s="9" t="s">
        <v>2061</v>
      </c>
      <c r="H528" s="9" t="s">
        <v>2028</v>
      </c>
      <c r="I528" s="9" t="s">
        <v>105</v>
      </c>
      <c r="J528" s="9" t="s">
        <v>100</v>
      </c>
      <c r="K528" s="12" t="s">
        <v>19</v>
      </c>
      <c r="L528" s="13" t="s">
        <v>20</v>
      </c>
      <c r="M528" s="12" t="s">
        <v>2604</v>
      </c>
      <c r="N528" s="12" t="s">
        <v>2605</v>
      </c>
      <c r="O528" s="12" t="s">
        <v>2623</v>
      </c>
      <c r="P528" s="14" t="s">
        <v>2615</v>
      </c>
      <c r="Q528">
        <v>1</v>
      </c>
      <c r="R528" s="20"/>
    </row>
    <row r="529" spans="1:18" ht="20.100000000000001" customHeight="1">
      <c r="A529" s="7">
        <v>524</v>
      </c>
      <c r="B529" s="8">
        <v>3204152005</v>
      </c>
      <c r="C529" s="9" t="s">
        <v>2062</v>
      </c>
      <c r="D529" s="10" t="s">
        <v>18</v>
      </c>
      <c r="E529" s="11" t="s">
        <v>2063</v>
      </c>
      <c r="F529" s="11" t="s">
        <v>2064</v>
      </c>
      <c r="G529" s="9" t="s">
        <v>2065</v>
      </c>
      <c r="H529" s="9" t="s">
        <v>2028</v>
      </c>
      <c r="I529" s="9" t="s">
        <v>105</v>
      </c>
      <c r="J529" s="9" t="s">
        <v>100</v>
      </c>
      <c r="K529" s="12" t="s">
        <v>19</v>
      </c>
      <c r="L529" s="13" t="s">
        <v>20</v>
      </c>
      <c r="M529" s="12" t="s">
        <v>2604</v>
      </c>
      <c r="N529" s="12" t="s">
        <v>2605</v>
      </c>
      <c r="O529" s="12" t="s">
        <v>195</v>
      </c>
      <c r="P529" s="14" t="s">
        <v>2621</v>
      </c>
      <c r="Q529">
        <v>1</v>
      </c>
      <c r="R529" s="20"/>
    </row>
    <row r="530" spans="1:18" ht="20.100000000000001" customHeight="1">
      <c r="A530" s="7">
        <v>525</v>
      </c>
      <c r="B530" s="8">
        <v>3204152005</v>
      </c>
      <c r="C530" s="9" t="s">
        <v>2066</v>
      </c>
      <c r="D530" s="10" t="s">
        <v>22</v>
      </c>
      <c r="E530" s="11" t="s">
        <v>2067</v>
      </c>
      <c r="F530" s="11" t="s">
        <v>2068</v>
      </c>
      <c r="G530" s="9" t="s">
        <v>2069</v>
      </c>
      <c r="H530" s="9" t="s">
        <v>2028</v>
      </c>
      <c r="I530" s="9" t="s">
        <v>105</v>
      </c>
      <c r="J530" s="9" t="s">
        <v>100</v>
      </c>
      <c r="K530" s="12" t="s">
        <v>19</v>
      </c>
      <c r="L530" s="13" t="s">
        <v>20</v>
      </c>
      <c r="M530" s="12" t="s">
        <v>2604</v>
      </c>
      <c r="N530" s="12" t="s">
        <v>2605</v>
      </c>
      <c r="O530" s="12" t="s">
        <v>2608</v>
      </c>
      <c r="P530" s="14" t="s">
        <v>2607</v>
      </c>
      <c r="Q530">
        <v>1</v>
      </c>
      <c r="R530" s="20"/>
    </row>
    <row r="531" spans="1:18" ht="20.100000000000001" customHeight="1">
      <c r="A531" s="7">
        <v>526</v>
      </c>
      <c r="B531" s="8">
        <v>3204152005</v>
      </c>
      <c r="C531" s="9" t="s">
        <v>122</v>
      </c>
      <c r="D531" s="10" t="s">
        <v>22</v>
      </c>
      <c r="E531" s="11" t="s">
        <v>2070</v>
      </c>
      <c r="F531" s="11" t="s">
        <v>2071</v>
      </c>
      <c r="G531" s="9" t="s">
        <v>2072</v>
      </c>
      <c r="H531" s="9" t="s">
        <v>2028</v>
      </c>
      <c r="I531" s="9" t="s">
        <v>105</v>
      </c>
      <c r="J531" s="9" t="s">
        <v>100</v>
      </c>
      <c r="K531" s="12" t="s">
        <v>19</v>
      </c>
      <c r="L531" s="13" t="s">
        <v>20</v>
      </c>
      <c r="M531" s="12" t="s">
        <v>2604</v>
      </c>
      <c r="N531" s="12" t="s">
        <v>2605</v>
      </c>
      <c r="O531" s="12" t="s">
        <v>2611</v>
      </c>
      <c r="P531" s="14" t="s">
        <v>2607</v>
      </c>
      <c r="Q531">
        <v>1</v>
      </c>
      <c r="R531" s="20"/>
    </row>
    <row r="532" spans="1:18" ht="20.100000000000001" customHeight="1">
      <c r="A532" s="7">
        <v>527</v>
      </c>
      <c r="B532" s="8">
        <v>3204152005</v>
      </c>
      <c r="C532" s="9" t="s">
        <v>140</v>
      </c>
      <c r="D532" s="10" t="s">
        <v>22</v>
      </c>
      <c r="E532" s="11" t="s">
        <v>2073</v>
      </c>
      <c r="F532" s="11" t="s">
        <v>2074</v>
      </c>
      <c r="G532" s="9" t="s">
        <v>2075</v>
      </c>
      <c r="H532" s="9" t="s">
        <v>2028</v>
      </c>
      <c r="I532" s="9" t="s">
        <v>105</v>
      </c>
      <c r="J532" s="9" t="s">
        <v>100</v>
      </c>
      <c r="K532" s="12" t="s">
        <v>19</v>
      </c>
      <c r="L532" s="13" t="s">
        <v>20</v>
      </c>
      <c r="M532" s="12" t="s">
        <v>2604</v>
      </c>
      <c r="N532" s="12" t="s">
        <v>2605</v>
      </c>
      <c r="O532" s="12" t="s">
        <v>2611</v>
      </c>
      <c r="P532" s="14" t="s">
        <v>2607</v>
      </c>
      <c r="Q532">
        <v>1</v>
      </c>
      <c r="R532" s="20"/>
    </row>
    <row r="533" spans="1:18" ht="20.100000000000001" customHeight="1">
      <c r="A533" s="7">
        <v>528</v>
      </c>
      <c r="B533" s="8">
        <v>3204152005</v>
      </c>
      <c r="C533" s="9" t="s">
        <v>217</v>
      </c>
      <c r="D533" s="10" t="s">
        <v>22</v>
      </c>
      <c r="E533" s="11" t="s">
        <v>2076</v>
      </c>
      <c r="F533" s="11" t="s">
        <v>2077</v>
      </c>
      <c r="G533" s="9" t="s">
        <v>2078</v>
      </c>
      <c r="H533" s="9" t="s">
        <v>2028</v>
      </c>
      <c r="I533" s="9" t="s">
        <v>105</v>
      </c>
      <c r="J533" s="9" t="s">
        <v>100</v>
      </c>
      <c r="K533" s="12" t="s">
        <v>19</v>
      </c>
      <c r="L533" s="13" t="s">
        <v>20</v>
      </c>
      <c r="M533" s="12" t="s">
        <v>2604</v>
      </c>
      <c r="N533" s="12" t="s">
        <v>2605</v>
      </c>
      <c r="O533" s="12" t="s">
        <v>2622</v>
      </c>
      <c r="P533" s="14" t="s">
        <v>2607</v>
      </c>
      <c r="Q533">
        <v>1</v>
      </c>
      <c r="R533" s="20"/>
    </row>
    <row r="534" spans="1:18" ht="20.100000000000001" customHeight="1">
      <c r="A534" s="7">
        <v>529</v>
      </c>
      <c r="B534" s="8">
        <v>3204152011</v>
      </c>
      <c r="C534" s="9" t="s">
        <v>218</v>
      </c>
      <c r="D534" s="10" t="s">
        <v>22</v>
      </c>
      <c r="E534" s="11" t="s">
        <v>2079</v>
      </c>
      <c r="F534" s="11" t="s">
        <v>2080</v>
      </c>
      <c r="G534" s="9" t="s">
        <v>2081</v>
      </c>
      <c r="H534" s="9" t="s">
        <v>2082</v>
      </c>
      <c r="I534" s="9" t="s">
        <v>105</v>
      </c>
      <c r="J534" s="9" t="s">
        <v>100</v>
      </c>
      <c r="K534" s="12" t="s">
        <v>19</v>
      </c>
      <c r="L534" s="13" t="s">
        <v>20</v>
      </c>
      <c r="M534" s="12" t="s">
        <v>2604</v>
      </c>
      <c r="N534" s="12" t="s">
        <v>2605</v>
      </c>
      <c r="O534" s="12" t="s">
        <v>2611</v>
      </c>
      <c r="P534" s="14" t="s">
        <v>2607</v>
      </c>
      <c r="Q534">
        <v>1</v>
      </c>
      <c r="R534" s="20">
        <f>SUM(Q534:Q541)</f>
        <v>8</v>
      </c>
    </row>
    <row r="535" spans="1:18" ht="20.100000000000001" customHeight="1">
      <c r="A535" s="7">
        <v>530</v>
      </c>
      <c r="B535" s="8">
        <v>3204152011</v>
      </c>
      <c r="C535" s="9" t="s">
        <v>2083</v>
      </c>
      <c r="D535" s="10" t="s">
        <v>22</v>
      </c>
      <c r="E535" s="11" t="s">
        <v>2084</v>
      </c>
      <c r="F535" s="11" t="s">
        <v>2085</v>
      </c>
      <c r="G535" s="9" t="s">
        <v>2081</v>
      </c>
      <c r="H535" s="9" t="s">
        <v>2082</v>
      </c>
      <c r="I535" s="9" t="s">
        <v>105</v>
      </c>
      <c r="J535" s="9" t="s">
        <v>100</v>
      </c>
      <c r="K535" s="12" t="s">
        <v>19</v>
      </c>
      <c r="L535" s="13" t="s">
        <v>20</v>
      </c>
      <c r="M535" s="12" t="s">
        <v>2604</v>
      </c>
      <c r="N535" s="12" t="s">
        <v>2605</v>
      </c>
      <c r="O535" s="12" t="s">
        <v>2611</v>
      </c>
      <c r="P535" s="14" t="s">
        <v>2607</v>
      </c>
      <c r="Q535">
        <v>1</v>
      </c>
      <c r="R535" s="20"/>
    </row>
    <row r="536" spans="1:18" ht="20.100000000000001" customHeight="1">
      <c r="A536" s="7">
        <v>531</v>
      </c>
      <c r="B536" s="8">
        <v>3204152011</v>
      </c>
      <c r="C536" s="9" t="s">
        <v>2086</v>
      </c>
      <c r="D536" s="10" t="s">
        <v>22</v>
      </c>
      <c r="E536" s="11" t="s">
        <v>2087</v>
      </c>
      <c r="F536" s="11" t="s">
        <v>2088</v>
      </c>
      <c r="G536" s="9" t="s">
        <v>2089</v>
      </c>
      <c r="H536" s="9" t="s">
        <v>2082</v>
      </c>
      <c r="I536" s="9" t="s">
        <v>105</v>
      </c>
      <c r="J536" s="9" t="s">
        <v>100</v>
      </c>
      <c r="K536" s="12" t="s">
        <v>19</v>
      </c>
      <c r="L536" s="13" t="s">
        <v>20</v>
      </c>
      <c r="M536" s="12" t="s">
        <v>2604</v>
      </c>
      <c r="N536" s="12" t="s">
        <v>2605</v>
      </c>
      <c r="O536" s="12" t="s">
        <v>2611</v>
      </c>
      <c r="P536" s="14" t="s">
        <v>2607</v>
      </c>
      <c r="Q536">
        <v>1</v>
      </c>
      <c r="R536" s="20"/>
    </row>
    <row r="537" spans="1:18" ht="20.100000000000001" customHeight="1">
      <c r="A537" s="7">
        <v>532</v>
      </c>
      <c r="B537" s="8">
        <v>3204152011</v>
      </c>
      <c r="C537" s="9" t="s">
        <v>2090</v>
      </c>
      <c r="D537" s="10" t="s">
        <v>22</v>
      </c>
      <c r="E537" s="11" t="s">
        <v>2091</v>
      </c>
      <c r="F537" s="11" t="s">
        <v>2092</v>
      </c>
      <c r="G537" s="9" t="s">
        <v>2093</v>
      </c>
      <c r="H537" s="9" t="s">
        <v>2082</v>
      </c>
      <c r="I537" s="9" t="s">
        <v>105</v>
      </c>
      <c r="J537" s="9" t="s">
        <v>100</v>
      </c>
      <c r="K537" s="12" t="s">
        <v>19</v>
      </c>
      <c r="L537" s="13" t="s">
        <v>20</v>
      </c>
      <c r="M537" s="12" t="s">
        <v>2604</v>
      </c>
      <c r="N537" s="12" t="s">
        <v>2605</v>
      </c>
      <c r="O537" s="12" t="s">
        <v>2619</v>
      </c>
      <c r="P537" s="14" t="s">
        <v>2610</v>
      </c>
      <c r="Q537">
        <v>1</v>
      </c>
      <c r="R537" s="20"/>
    </row>
    <row r="538" spans="1:18" ht="20.100000000000001" customHeight="1">
      <c r="A538" s="7">
        <v>533</v>
      </c>
      <c r="B538" s="8">
        <v>3204152011</v>
      </c>
      <c r="C538" s="9" t="s">
        <v>2094</v>
      </c>
      <c r="D538" s="10" t="s">
        <v>22</v>
      </c>
      <c r="E538" s="11" t="s">
        <v>2095</v>
      </c>
      <c r="F538" s="11" t="s">
        <v>2096</v>
      </c>
      <c r="G538" s="9" t="s">
        <v>2097</v>
      </c>
      <c r="H538" s="9" t="s">
        <v>2082</v>
      </c>
      <c r="I538" s="9" t="s">
        <v>105</v>
      </c>
      <c r="J538" s="9" t="s">
        <v>100</v>
      </c>
      <c r="K538" s="12" t="s">
        <v>19</v>
      </c>
      <c r="L538" s="13" t="s">
        <v>20</v>
      </c>
      <c r="M538" s="12" t="s">
        <v>2604</v>
      </c>
      <c r="N538" s="12" t="s">
        <v>2605</v>
      </c>
      <c r="O538" s="12" t="s">
        <v>2617</v>
      </c>
      <c r="P538" s="14" t="s">
        <v>2610</v>
      </c>
      <c r="Q538">
        <v>1</v>
      </c>
      <c r="R538" s="20"/>
    </row>
    <row r="539" spans="1:18" ht="20.100000000000001" customHeight="1">
      <c r="A539" s="7">
        <v>534</v>
      </c>
      <c r="B539" s="8">
        <v>3204152011</v>
      </c>
      <c r="C539" s="9" t="s">
        <v>2098</v>
      </c>
      <c r="D539" s="10" t="s">
        <v>22</v>
      </c>
      <c r="E539" s="11" t="s">
        <v>2099</v>
      </c>
      <c r="F539" s="11" t="s">
        <v>2100</v>
      </c>
      <c r="G539" s="9" t="s">
        <v>2101</v>
      </c>
      <c r="H539" s="9" t="s">
        <v>2082</v>
      </c>
      <c r="I539" s="9" t="s">
        <v>105</v>
      </c>
      <c r="J539" s="9" t="s">
        <v>100</v>
      </c>
      <c r="K539" s="12" t="s">
        <v>19</v>
      </c>
      <c r="L539" s="13" t="s">
        <v>20</v>
      </c>
      <c r="M539" s="12" t="s">
        <v>2604</v>
      </c>
      <c r="N539" s="12" t="s">
        <v>2605</v>
      </c>
      <c r="O539" s="12" t="s">
        <v>2611</v>
      </c>
      <c r="P539" s="14" t="s">
        <v>2607</v>
      </c>
      <c r="Q539">
        <v>1</v>
      </c>
      <c r="R539" s="20"/>
    </row>
    <row r="540" spans="1:18" ht="20.100000000000001" customHeight="1">
      <c r="A540" s="7">
        <v>535</v>
      </c>
      <c r="B540" s="8">
        <v>3204152011</v>
      </c>
      <c r="C540" s="9" t="s">
        <v>2102</v>
      </c>
      <c r="D540" s="10" t="s">
        <v>22</v>
      </c>
      <c r="E540" s="11" t="s">
        <v>2103</v>
      </c>
      <c r="F540" s="11" t="s">
        <v>2104</v>
      </c>
      <c r="G540" s="9" t="s">
        <v>2105</v>
      </c>
      <c r="H540" s="9" t="s">
        <v>2082</v>
      </c>
      <c r="I540" s="9" t="s">
        <v>105</v>
      </c>
      <c r="J540" s="9" t="s">
        <v>100</v>
      </c>
      <c r="K540" s="12" t="s">
        <v>19</v>
      </c>
      <c r="L540" s="13" t="s">
        <v>20</v>
      </c>
      <c r="M540" s="12" t="s">
        <v>2604</v>
      </c>
      <c r="N540" s="12" t="s">
        <v>2605</v>
      </c>
      <c r="O540" s="12" t="s">
        <v>2608</v>
      </c>
      <c r="P540" s="14" t="s">
        <v>2607</v>
      </c>
      <c r="Q540">
        <v>1</v>
      </c>
      <c r="R540" s="20"/>
    </row>
    <row r="541" spans="1:18" ht="20.100000000000001" customHeight="1">
      <c r="A541" s="7">
        <v>536</v>
      </c>
      <c r="B541" s="8">
        <v>3204152011</v>
      </c>
      <c r="C541" s="9" t="s">
        <v>2106</v>
      </c>
      <c r="D541" s="10" t="s">
        <v>22</v>
      </c>
      <c r="E541" s="11" t="s">
        <v>2107</v>
      </c>
      <c r="F541" s="11" t="s">
        <v>2108</v>
      </c>
      <c r="G541" s="9" t="s">
        <v>2109</v>
      </c>
      <c r="H541" s="9" t="s">
        <v>2082</v>
      </c>
      <c r="I541" s="9" t="s">
        <v>105</v>
      </c>
      <c r="J541" s="9" t="s">
        <v>100</v>
      </c>
      <c r="K541" s="12" t="s">
        <v>19</v>
      </c>
      <c r="L541" s="13" t="s">
        <v>20</v>
      </c>
      <c r="M541" s="12" t="s">
        <v>2604</v>
      </c>
      <c r="N541" s="12" t="s">
        <v>2605</v>
      </c>
      <c r="O541" s="12" t="s">
        <v>2606</v>
      </c>
      <c r="P541" s="14" t="s">
        <v>2607</v>
      </c>
      <c r="Q541">
        <v>1</v>
      </c>
      <c r="R541" s="20"/>
    </row>
    <row r="542" spans="1:18" ht="20.100000000000001" customHeight="1">
      <c r="A542" s="7">
        <v>537</v>
      </c>
      <c r="B542" s="8">
        <v>3204352003</v>
      </c>
      <c r="C542" s="9" t="s">
        <v>36</v>
      </c>
      <c r="D542" s="10" t="s">
        <v>18</v>
      </c>
      <c r="E542" s="11" t="s">
        <v>2110</v>
      </c>
      <c r="F542" s="11" t="s">
        <v>2111</v>
      </c>
      <c r="G542" s="9" t="s">
        <v>2112</v>
      </c>
      <c r="H542" s="9" t="s">
        <v>2113</v>
      </c>
      <c r="I542" s="9" t="s">
        <v>106</v>
      </c>
      <c r="J542" s="9" t="s">
        <v>100</v>
      </c>
      <c r="K542" s="12" t="s">
        <v>19</v>
      </c>
      <c r="L542" s="13" t="s">
        <v>20</v>
      </c>
      <c r="M542" s="12" t="s">
        <v>2604</v>
      </c>
      <c r="N542" s="12" t="s">
        <v>2605</v>
      </c>
      <c r="O542" s="12" t="s">
        <v>2606</v>
      </c>
      <c r="P542" s="14" t="s">
        <v>2607</v>
      </c>
      <c r="Q542">
        <v>1</v>
      </c>
      <c r="R542" s="20">
        <f>SUM(Q542:Q561)</f>
        <v>20</v>
      </c>
    </row>
    <row r="543" spans="1:18" ht="20.100000000000001" customHeight="1">
      <c r="A543" s="7">
        <v>538</v>
      </c>
      <c r="B543" s="8">
        <v>3204352003</v>
      </c>
      <c r="C543" s="9" t="s">
        <v>204</v>
      </c>
      <c r="D543" s="10" t="s">
        <v>18</v>
      </c>
      <c r="E543" s="11" t="s">
        <v>2114</v>
      </c>
      <c r="F543" s="11" t="s">
        <v>2115</v>
      </c>
      <c r="G543" s="9" t="s">
        <v>2116</v>
      </c>
      <c r="H543" s="9" t="s">
        <v>2113</v>
      </c>
      <c r="I543" s="9" t="s">
        <v>106</v>
      </c>
      <c r="J543" s="9" t="s">
        <v>100</v>
      </c>
      <c r="K543" s="12" t="s">
        <v>19</v>
      </c>
      <c r="L543" s="13" t="s">
        <v>20</v>
      </c>
      <c r="M543" s="12" t="s">
        <v>2604</v>
      </c>
      <c r="N543" s="12" t="s">
        <v>2605</v>
      </c>
      <c r="O543" s="12" t="s">
        <v>2611</v>
      </c>
      <c r="P543" s="14" t="s">
        <v>2607</v>
      </c>
      <c r="Q543">
        <v>1</v>
      </c>
      <c r="R543" s="20"/>
    </row>
    <row r="544" spans="1:18" ht="20.100000000000001" customHeight="1">
      <c r="A544" s="7">
        <v>539</v>
      </c>
      <c r="B544" s="8">
        <v>3204352003</v>
      </c>
      <c r="C544" s="9" t="s">
        <v>2117</v>
      </c>
      <c r="D544" s="10" t="s">
        <v>22</v>
      </c>
      <c r="E544" s="11" t="s">
        <v>2118</v>
      </c>
      <c r="F544" s="11" t="s">
        <v>2119</v>
      </c>
      <c r="G544" s="9" t="s">
        <v>2120</v>
      </c>
      <c r="H544" s="9" t="s">
        <v>2113</v>
      </c>
      <c r="I544" s="9" t="s">
        <v>106</v>
      </c>
      <c r="J544" s="9" t="s">
        <v>100</v>
      </c>
      <c r="K544" s="12" t="s">
        <v>19</v>
      </c>
      <c r="L544" s="13" t="s">
        <v>20</v>
      </c>
      <c r="M544" s="12" t="s">
        <v>2604</v>
      </c>
      <c r="N544" s="12" t="s">
        <v>2605</v>
      </c>
      <c r="O544" s="12" t="s">
        <v>2606</v>
      </c>
      <c r="P544" s="14" t="s">
        <v>2607</v>
      </c>
      <c r="Q544">
        <v>1</v>
      </c>
      <c r="R544" s="20"/>
    </row>
    <row r="545" spans="1:18" ht="20.100000000000001" customHeight="1">
      <c r="A545" s="7">
        <v>540</v>
      </c>
      <c r="B545" s="8">
        <v>3204352003</v>
      </c>
      <c r="C545" s="9" t="s">
        <v>165</v>
      </c>
      <c r="D545" s="10" t="s">
        <v>22</v>
      </c>
      <c r="E545" s="11" t="s">
        <v>2121</v>
      </c>
      <c r="F545" s="11" t="s">
        <v>2122</v>
      </c>
      <c r="G545" s="9" t="s">
        <v>2123</v>
      </c>
      <c r="H545" s="9" t="s">
        <v>2113</v>
      </c>
      <c r="I545" s="9" t="s">
        <v>106</v>
      </c>
      <c r="J545" s="9" t="s">
        <v>100</v>
      </c>
      <c r="K545" s="12" t="s">
        <v>19</v>
      </c>
      <c r="L545" s="13" t="s">
        <v>20</v>
      </c>
      <c r="M545" s="12" t="s">
        <v>2604</v>
      </c>
      <c r="N545" s="12" t="s">
        <v>2605</v>
      </c>
      <c r="O545" s="12" t="s">
        <v>2609</v>
      </c>
      <c r="P545" s="14" t="s">
        <v>2610</v>
      </c>
      <c r="Q545">
        <v>1</v>
      </c>
      <c r="R545" s="20"/>
    </row>
    <row r="546" spans="1:18" ht="20.100000000000001" customHeight="1">
      <c r="A546" s="7">
        <v>541</v>
      </c>
      <c r="B546" s="8">
        <v>3204352003</v>
      </c>
      <c r="C546" s="9" t="s">
        <v>93</v>
      </c>
      <c r="D546" s="10" t="s">
        <v>22</v>
      </c>
      <c r="E546" s="11" t="s">
        <v>2124</v>
      </c>
      <c r="F546" s="11" t="s">
        <v>2125</v>
      </c>
      <c r="G546" s="9" t="s">
        <v>2126</v>
      </c>
      <c r="H546" s="9" t="s">
        <v>2113</v>
      </c>
      <c r="I546" s="9" t="s">
        <v>106</v>
      </c>
      <c r="J546" s="9" t="s">
        <v>100</v>
      </c>
      <c r="K546" s="12" t="s">
        <v>19</v>
      </c>
      <c r="L546" s="13" t="s">
        <v>20</v>
      </c>
      <c r="M546" s="12" t="s">
        <v>2604</v>
      </c>
      <c r="N546" s="12" t="s">
        <v>2605</v>
      </c>
      <c r="O546" s="12" t="s">
        <v>2608</v>
      </c>
      <c r="P546" s="14" t="s">
        <v>2607</v>
      </c>
      <c r="Q546">
        <v>1</v>
      </c>
      <c r="R546" s="20"/>
    </row>
    <row r="547" spans="1:18" ht="20.100000000000001" customHeight="1">
      <c r="A547" s="7">
        <v>542</v>
      </c>
      <c r="B547" s="8">
        <v>3204352003</v>
      </c>
      <c r="C547" s="9" t="s">
        <v>2127</v>
      </c>
      <c r="D547" s="10" t="s">
        <v>22</v>
      </c>
      <c r="E547" s="11" t="s">
        <v>2128</v>
      </c>
      <c r="F547" s="11" t="s">
        <v>2129</v>
      </c>
      <c r="G547" s="9" t="s">
        <v>2130</v>
      </c>
      <c r="H547" s="9" t="s">
        <v>2113</v>
      </c>
      <c r="I547" s="9" t="s">
        <v>106</v>
      </c>
      <c r="J547" s="9" t="s">
        <v>100</v>
      </c>
      <c r="K547" s="12" t="s">
        <v>19</v>
      </c>
      <c r="L547" s="13" t="s">
        <v>20</v>
      </c>
      <c r="M547" s="12" t="s">
        <v>2604</v>
      </c>
      <c r="N547" s="12" t="s">
        <v>2605</v>
      </c>
      <c r="O547" s="12" t="s">
        <v>2611</v>
      </c>
      <c r="P547" s="14" t="s">
        <v>2607</v>
      </c>
      <c r="Q547">
        <v>1</v>
      </c>
      <c r="R547" s="20"/>
    </row>
    <row r="548" spans="1:18" ht="20.100000000000001" customHeight="1">
      <c r="A548" s="7">
        <v>543</v>
      </c>
      <c r="B548" s="8">
        <v>3204352003</v>
      </c>
      <c r="C548" s="9" t="s">
        <v>58</v>
      </c>
      <c r="D548" s="10" t="s">
        <v>18</v>
      </c>
      <c r="E548" s="11" t="s">
        <v>2131</v>
      </c>
      <c r="F548" s="11" t="s">
        <v>2132</v>
      </c>
      <c r="G548" s="9" t="s">
        <v>2133</v>
      </c>
      <c r="H548" s="9" t="s">
        <v>2113</v>
      </c>
      <c r="I548" s="9" t="s">
        <v>106</v>
      </c>
      <c r="J548" s="9" t="s">
        <v>100</v>
      </c>
      <c r="K548" s="12" t="s">
        <v>19</v>
      </c>
      <c r="L548" s="13" t="s">
        <v>20</v>
      </c>
      <c r="M548" s="12" t="s">
        <v>2604</v>
      </c>
      <c r="N548" s="12" t="s">
        <v>2605</v>
      </c>
      <c r="O548" s="12" t="s">
        <v>2616</v>
      </c>
      <c r="P548" s="14" t="s">
        <v>2607</v>
      </c>
      <c r="Q548">
        <v>1</v>
      </c>
      <c r="R548" s="20"/>
    </row>
    <row r="549" spans="1:18" ht="20.100000000000001" customHeight="1">
      <c r="A549" s="7">
        <v>544</v>
      </c>
      <c r="B549" s="8">
        <v>3204352003</v>
      </c>
      <c r="C549" s="9" t="s">
        <v>2134</v>
      </c>
      <c r="D549" s="10" t="s">
        <v>22</v>
      </c>
      <c r="E549" s="11" t="s">
        <v>2135</v>
      </c>
      <c r="F549" s="11" t="s">
        <v>2136</v>
      </c>
      <c r="G549" s="9" t="s">
        <v>2137</v>
      </c>
      <c r="H549" s="9" t="s">
        <v>2113</v>
      </c>
      <c r="I549" s="9" t="s">
        <v>106</v>
      </c>
      <c r="J549" s="9" t="s">
        <v>100</v>
      </c>
      <c r="K549" s="12" t="s">
        <v>19</v>
      </c>
      <c r="L549" s="13" t="s">
        <v>20</v>
      </c>
      <c r="M549" s="12" t="s">
        <v>2604</v>
      </c>
      <c r="N549" s="12" t="s">
        <v>2605</v>
      </c>
      <c r="O549" s="12" t="s">
        <v>2611</v>
      </c>
      <c r="P549" s="14" t="s">
        <v>2607</v>
      </c>
      <c r="Q549">
        <v>1</v>
      </c>
      <c r="R549" s="20"/>
    </row>
    <row r="550" spans="1:18" ht="20.100000000000001" customHeight="1">
      <c r="A550" s="7">
        <v>545</v>
      </c>
      <c r="B550" s="8">
        <v>3204352003</v>
      </c>
      <c r="C550" s="9" t="s">
        <v>200</v>
      </c>
      <c r="D550" s="10" t="s">
        <v>22</v>
      </c>
      <c r="E550" s="11" t="s">
        <v>2138</v>
      </c>
      <c r="F550" s="11" t="s">
        <v>2139</v>
      </c>
      <c r="G550" s="9" t="s">
        <v>2140</v>
      </c>
      <c r="H550" s="9" t="s">
        <v>2113</v>
      </c>
      <c r="I550" s="9" t="s">
        <v>106</v>
      </c>
      <c r="J550" s="9" t="s">
        <v>100</v>
      </c>
      <c r="K550" s="12" t="s">
        <v>19</v>
      </c>
      <c r="L550" s="13" t="s">
        <v>20</v>
      </c>
      <c r="M550" s="12" t="s">
        <v>2604</v>
      </c>
      <c r="N550" s="12" t="s">
        <v>2605</v>
      </c>
      <c r="O550" s="12" t="s">
        <v>2606</v>
      </c>
      <c r="P550" s="14" t="s">
        <v>2607</v>
      </c>
      <c r="Q550">
        <v>1</v>
      </c>
      <c r="R550" s="20"/>
    </row>
    <row r="551" spans="1:18" ht="20.100000000000001" customHeight="1">
      <c r="A551" s="7">
        <v>546</v>
      </c>
      <c r="B551" s="8">
        <v>3204352003</v>
      </c>
      <c r="C551" s="9" t="s">
        <v>2141</v>
      </c>
      <c r="D551" s="10" t="s">
        <v>22</v>
      </c>
      <c r="E551" s="11" t="s">
        <v>2142</v>
      </c>
      <c r="F551" s="11" t="s">
        <v>2143</v>
      </c>
      <c r="G551" s="9" t="s">
        <v>2144</v>
      </c>
      <c r="H551" s="9" t="s">
        <v>2113</v>
      </c>
      <c r="I551" s="9" t="s">
        <v>106</v>
      </c>
      <c r="J551" s="9" t="s">
        <v>100</v>
      </c>
      <c r="K551" s="12" t="s">
        <v>19</v>
      </c>
      <c r="L551" s="13" t="s">
        <v>20</v>
      </c>
      <c r="M551" s="12" t="s">
        <v>2604</v>
      </c>
      <c r="N551" s="12" t="s">
        <v>2605</v>
      </c>
      <c r="O551" s="12" t="s">
        <v>2606</v>
      </c>
      <c r="P551" s="14" t="s">
        <v>2607</v>
      </c>
      <c r="Q551">
        <v>1</v>
      </c>
      <c r="R551" s="20"/>
    </row>
    <row r="552" spans="1:18" ht="20.100000000000001" customHeight="1">
      <c r="A552" s="7">
        <v>547</v>
      </c>
      <c r="B552" s="8">
        <v>3204352003</v>
      </c>
      <c r="C552" s="9" t="s">
        <v>63</v>
      </c>
      <c r="D552" s="10" t="s">
        <v>22</v>
      </c>
      <c r="E552" s="11" t="s">
        <v>2145</v>
      </c>
      <c r="F552" s="11" t="s">
        <v>2146</v>
      </c>
      <c r="G552" s="9" t="s">
        <v>2147</v>
      </c>
      <c r="H552" s="9" t="s">
        <v>2113</v>
      </c>
      <c r="I552" s="9" t="s">
        <v>106</v>
      </c>
      <c r="J552" s="9" t="s">
        <v>100</v>
      </c>
      <c r="K552" s="12" t="s">
        <v>19</v>
      </c>
      <c r="L552" s="13" t="s">
        <v>20</v>
      </c>
      <c r="M552" s="12" t="s">
        <v>2604</v>
      </c>
      <c r="N552" s="12" t="s">
        <v>2605</v>
      </c>
      <c r="O552" s="12" t="s">
        <v>2606</v>
      </c>
      <c r="P552" s="14" t="s">
        <v>2607</v>
      </c>
      <c r="Q552">
        <v>1</v>
      </c>
      <c r="R552" s="20"/>
    </row>
    <row r="553" spans="1:18" ht="20.100000000000001" customHeight="1">
      <c r="A553" s="7">
        <v>548</v>
      </c>
      <c r="B553" s="8">
        <v>3204352003</v>
      </c>
      <c r="C553" s="9" t="s">
        <v>2148</v>
      </c>
      <c r="D553" s="10" t="s">
        <v>22</v>
      </c>
      <c r="E553" s="11" t="s">
        <v>2149</v>
      </c>
      <c r="F553" s="11" t="s">
        <v>2150</v>
      </c>
      <c r="G553" s="9" t="s">
        <v>2151</v>
      </c>
      <c r="H553" s="9" t="s">
        <v>2113</v>
      </c>
      <c r="I553" s="9" t="s">
        <v>106</v>
      </c>
      <c r="J553" s="9" t="s">
        <v>100</v>
      </c>
      <c r="K553" s="12" t="s">
        <v>19</v>
      </c>
      <c r="L553" s="13" t="s">
        <v>20</v>
      </c>
      <c r="M553" s="12" t="s">
        <v>2604</v>
      </c>
      <c r="N553" s="12" t="s">
        <v>2605</v>
      </c>
      <c r="O553" s="12" t="s">
        <v>2609</v>
      </c>
      <c r="P553" s="14" t="s">
        <v>2610</v>
      </c>
      <c r="Q553">
        <v>1</v>
      </c>
      <c r="R553" s="20"/>
    </row>
    <row r="554" spans="1:18" ht="20.100000000000001" customHeight="1">
      <c r="A554" s="7">
        <v>549</v>
      </c>
      <c r="B554" s="8">
        <v>3204352003</v>
      </c>
      <c r="C554" s="9" t="s">
        <v>2152</v>
      </c>
      <c r="D554" s="10" t="s">
        <v>22</v>
      </c>
      <c r="E554" s="11" t="s">
        <v>2153</v>
      </c>
      <c r="F554" s="11" t="s">
        <v>2154</v>
      </c>
      <c r="G554" s="9" t="s">
        <v>2151</v>
      </c>
      <c r="H554" s="9" t="s">
        <v>2113</v>
      </c>
      <c r="I554" s="9" t="s">
        <v>106</v>
      </c>
      <c r="J554" s="9" t="s">
        <v>100</v>
      </c>
      <c r="K554" s="12" t="s">
        <v>19</v>
      </c>
      <c r="L554" s="13" t="s">
        <v>20</v>
      </c>
      <c r="M554" s="12" t="s">
        <v>2604</v>
      </c>
      <c r="N554" s="12" t="s">
        <v>2605</v>
      </c>
      <c r="O554" s="12" t="s">
        <v>2606</v>
      </c>
      <c r="P554" s="14" t="s">
        <v>2607</v>
      </c>
      <c r="Q554">
        <v>1</v>
      </c>
      <c r="R554" s="20"/>
    </row>
    <row r="555" spans="1:18" ht="20.100000000000001" customHeight="1">
      <c r="A555" s="7">
        <v>550</v>
      </c>
      <c r="B555" s="8">
        <v>3204352003</v>
      </c>
      <c r="C555" s="9" t="s">
        <v>2155</v>
      </c>
      <c r="D555" s="10" t="s">
        <v>22</v>
      </c>
      <c r="E555" s="11" t="s">
        <v>2156</v>
      </c>
      <c r="F555" s="11" t="s">
        <v>2157</v>
      </c>
      <c r="G555" s="9" t="s">
        <v>2158</v>
      </c>
      <c r="H555" s="9" t="s">
        <v>2113</v>
      </c>
      <c r="I555" s="9" t="s">
        <v>106</v>
      </c>
      <c r="J555" s="9" t="s">
        <v>100</v>
      </c>
      <c r="K555" s="12" t="s">
        <v>19</v>
      </c>
      <c r="L555" s="13" t="s">
        <v>20</v>
      </c>
      <c r="M555" s="12" t="s">
        <v>2604</v>
      </c>
      <c r="N555" s="12" t="s">
        <v>2605</v>
      </c>
      <c r="O555" s="12" t="s">
        <v>2606</v>
      </c>
      <c r="P555" s="14" t="s">
        <v>2607</v>
      </c>
      <c r="Q555">
        <v>1</v>
      </c>
      <c r="R555" s="20"/>
    </row>
    <row r="556" spans="1:18" ht="20.100000000000001" customHeight="1">
      <c r="A556" s="7">
        <v>551</v>
      </c>
      <c r="B556" s="8">
        <v>3204352003</v>
      </c>
      <c r="C556" s="9" t="s">
        <v>2159</v>
      </c>
      <c r="D556" s="10" t="s">
        <v>18</v>
      </c>
      <c r="E556" s="11" t="s">
        <v>2160</v>
      </c>
      <c r="F556" s="11" t="s">
        <v>2161</v>
      </c>
      <c r="G556" s="9" t="s">
        <v>2162</v>
      </c>
      <c r="H556" s="9" t="s">
        <v>2113</v>
      </c>
      <c r="I556" s="9" t="s">
        <v>106</v>
      </c>
      <c r="J556" s="9" t="s">
        <v>100</v>
      </c>
      <c r="K556" s="12" t="s">
        <v>19</v>
      </c>
      <c r="L556" s="13" t="s">
        <v>20</v>
      </c>
      <c r="M556" s="12" t="s">
        <v>2604</v>
      </c>
      <c r="N556" s="12" t="s">
        <v>2605</v>
      </c>
      <c r="O556" s="12" t="s">
        <v>2617</v>
      </c>
      <c r="P556" s="14" t="s">
        <v>2610</v>
      </c>
      <c r="Q556">
        <v>1</v>
      </c>
      <c r="R556" s="20"/>
    </row>
    <row r="557" spans="1:18" ht="20.100000000000001" customHeight="1">
      <c r="A557" s="7">
        <v>552</v>
      </c>
      <c r="B557" s="8">
        <v>3204352003</v>
      </c>
      <c r="C557" s="9" t="s">
        <v>2163</v>
      </c>
      <c r="D557" s="10" t="s">
        <v>22</v>
      </c>
      <c r="E557" s="11" t="s">
        <v>2164</v>
      </c>
      <c r="F557" s="11" t="s">
        <v>2165</v>
      </c>
      <c r="G557" s="9" t="s">
        <v>2151</v>
      </c>
      <c r="H557" s="9" t="s">
        <v>2113</v>
      </c>
      <c r="I557" s="9" t="s">
        <v>106</v>
      </c>
      <c r="J557" s="9" t="s">
        <v>100</v>
      </c>
      <c r="K557" s="12" t="s">
        <v>19</v>
      </c>
      <c r="L557" s="13" t="s">
        <v>20</v>
      </c>
      <c r="M557" s="12" t="s">
        <v>2604</v>
      </c>
      <c r="N557" s="12" t="s">
        <v>2605</v>
      </c>
      <c r="O557" s="12" t="s">
        <v>2606</v>
      </c>
      <c r="P557" s="14" t="s">
        <v>2607</v>
      </c>
      <c r="Q557">
        <v>1</v>
      </c>
      <c r="R557" s="20"/>
    </row>
    <row r="558" spans="1:18" ht="20.100000000000001" customHeight="1">
      <c r="A558" s="7">
        <v>553</v>
      </c>
      <c r="B558" s="8">
        <v>3204352003</v>
      </c>
      <c r="C558" s="9" t="s">
        <v>112</v>
      </c>
      <c r="D558" s="10" t="s">
        <v>22</v>
      </c>
      <c r="E558" s="11" t="s">
        <v>2166</v>
      </c>
      <c r="F558" s="11" t="s">
        <v>2167</v>
      </c>
      <c r="G558" s="9" t="s">
        <v>2168</v>
      </c>
      <c r="H558" s="9" t="s">
        <v>2113</v>
      </c>
      <c r="I558" s="9" t="s">
        <v>106</v>
      </c>
      <c r="J558" s="9" t="s">
        <v>100</v>
      </c>
      <c r="K558" s="12" t="s">
        <v>19</v>
      </c>
      <c r="L558" s="13" t="s">
        <v>20</v>
      </c>
      <c r="M558" s="12" t="s">
        <v>2604</v>
      </c>
      <c r="N558" s="12" t="s">
        <v>2605</v>
      </c>
      <c r="O558" s="12" t="s">
        <v>2608</v>
      </c>
      <c r="P558" s="14" t="s">
        <v>2607</v>
      </c>
      <c r="Q558">
        <v>1</v>
      </c>
      <c r="R558" s="20"/>
    </row>
    <row r="559" spans="1:18" ht="20.100000000000001" customHeight="1">
      <c r="A559" s="7">
        <v>554</v>
      </c>
      <c r="B559" s="8">
        <v>3204352003</v>
      </c>
      <c r="C559" s="9" t="s">
        <v>2169</v>
      </c>
      <c r="D559" s="10" t="s">
        <v>22</v>
      </c>
      <c r="E559" s="11" t="s">
        <v>2170</v>
      </c>
      <c r="F559" s="11" t="s">
        <v>2171</v>
      </c>
      <c r="G559" s="9" t="s">
        <v>2172</v>
      </c>
      <c r="H559" s="9" t="s">
        <v>2113</v>
      </c>
      <c r="I559" s="9" t="s">
        <v>106</v>
      </c>
      <c r="J559" s="9" t="s">
        <v>100</v>
      </c>
      <c r="K559" s="12" t="s">
        <v>19</v>
      </c>
      <c r="L559" s="13" t="s">
        <v>20</v>
      </c>
      <c r="M559" s="12" t="s">
        <v>2604</v>
      </c>
      <c r="N559" s="12" t="s">
        <v>2605</v>
      </c>
      <c r="O559" s="12" t="s">
        <v>2608</v>
      </c>
      <c r="P559" s="14" t="s">
        <v>2607</v>
      </c>
      <c r="Q559">
        <v>1</v>
      </c>
      <c r="R559" s="20"/>
    </row>
    <row r="560" spans="1:18" ht="20.100000000000001" customHeight="1">
      <c r="A560" s="7">
        <v>555</v>
      </c>
      <c r="B560" s="8">
        <v>3204352003</v>
      </c>
      <c r="C560" s="9" t="s">
        <v>2173</v>
      </c>
      <c r="D560" s="10" t="s">
        <v>22</v>
      </c>
      <c r="E560" s="11" t="s">
        <v>2174</v>
      </c>
      <c r="F560" s="11" t="s">
        <v>2175</v>
      </c>
      <c r="G560" s="9" t="s">
        <v>2176</v>
      </c>
      <c r="H560" s="9" t="s">
        <v>2113</v>
      </c>
      <c r="I560" s="9" t="s">
        <v>106</v>
      </c>
      <c r="J560" s="9" t="s">
        <v>100</v>
      </c>
      <c r="K560" s="12" t="s">
        <v>19</v>
      </c>
      <c r="L560" s="13" t="s">
        <v>20</v>
      </c>
      <c r="M560" s="12" t="s">
        <v>2604</v>
      </c>
      <c r="N560" s="12" t="s">
        <v>2605</v>
      </c>
      <c r="O560" s="12" t="s">
        <v>2606</v>
      </c>
      <c r="P560" s="14" t="s">
        <v>2607</v>
      </c>
      <c r="Q560">
        <v>1</v>
      </c>
      <c r="R560" s="20"/>
    </row>
    <row r="561" spans="1:18" ht="20.100000000000001" customHeight="1">
      <c r="A561" s="7">
        <v>556</v>
      </c>
      <c r="B561" s="8">
        <v>3204352003</v>
      </c>
      <c r="C561" s="9" t="s">
        <v>159</v>
      </c>
      <c r="D561" s="10" t="s">
        <v>22</v>
      </c>
      <c r="E561" s="11" t="s">
        <v>2177</v>
      </c>
      <c r="F561" s="11" t="s">
        <v>2178</v>
      </c>
      <c r="G561" s="9" t="s">
        <v>2116</v>
      </c>
      <c r="H561" s="9" t="s">
        <v>2113</v>
      </c>
      <c r="I561" s="9" t="s">
        <v>106</v>
      </c>
      <c r="J561" s="9" t="s">
        <v>100</v>
      </c>
      <c r="K561" s="12" t="s">
        <v>19</v>
      </c>
      <c r="L561" s="13" t="s">
        <v>20</v>
      </c>
      <c r="M561" s="12" t="s">
        <v>2604</v>
      </c>
      <c r="N561" s="12" t="s">
        <v>2605</v>
      </c>
      <c r="O561" s="12" t="s">
        <v>2616</v>
      </c>
      <c r="P561" s="14" t="s">
        <v>2607</v>
      </c>
      <c r="Q561">
        <v>1</v>
      </c>
      <c r="R561" s="20"/>
    </row>
    <row r="562" spans="1:18" ht="20.100000000000001" customHeight="1">
      <c r="A562" s="7">
        <v>557</v>
      </c>
      <c r="B562" s="8">
        <v>3204382002</v>
      </c>
      <c r="C562" s="9" t="s">
        <v>88</v>
      </c>
      <c r="D562" s="10" t="s">
        <v>22</v>
      </c>
      <c r="E562" s="11" t="s">
        <v>2179</v>
      </c>
      <c r="F562" s="11" t="s">
        <v>2180</v>
      </c>
      <c r="G562" s="9" t="s">
        <v>2181</v>
      </c>
      <c r="H562" s="9" t="s">
        <v>37</v>
      </c>
      <c r="I562" s="9" t="s">
        <v>2182</v>
      </c>
      <c r="J562" s="9" t="s">
        <v>100</v>
      </c>
      <c r="K562" s="12" t="s">
        <v>19</v>
      </c>
      <c r="L562" s="13" t="s">
        <v>20</v>
      </c>
      <c r="M562" s="12" t="s">
        <v>2604</v>
      </c>
      <c r="N562" s="12" t="s">
        <v>2605</v>
      </c>
      <c r="O562" s="12" t="s">
        <v>2611</v>
      </c>
      <c r="P562" s="14" t="s">
        <v>2607</v>
      </c>
      <c r="Q562">
        <v>1</v>
      </c>
      <c r="R562" s="21"/>
    </row>
    <row r="563" spans="1:18" ht="20.100000000000001" customHeight="1">
      <c r="A563" s="7">
        <v>558</v>
      </c>
      <c r="B563" s="8">
        <v>3204382005</v>
      </c>
      <c r="C563" s="9" t="s">
        <v>2183</v>
      </c>
      <c r="D563" s="10" t="s">
        <v>18</v>
      </c>
      <c r="E563" s="11" t="s">
        <v>2184</v>
      </c>
      <c r="F563" s="11" t="s">
        <v>2185</v>
      </c>
      <c r="G563" s="9" t="s">
        <v>2186</v>
      </c>
      <c r="H563" s="9" t="s">
        <v>2187</v>
      </c>
      <c r="I563" s="9" t="s">
        <v>2182</v>
      </c>
      <c r="J563" s="9" t="s">
        <v>100</v>
      </c>
      <c r="K563" s="12" t="s">
        <v>19</v>
      </c>
      <c r="L563" s="13" t="s">
        <v>20</v>
      </c>
      <c r="M563" s="12" t="s">
        <v>2604</v>
      </c>
      <c r="N563" s="12" t="s">
        <v>2605</v>
      </c>
      <c r="O563" s="12" t="s">
        <v>2625</v>
      </c>
      <c r="P563" s="14" t="s">
        <v>2610</v>
      </c>
      <c r="Q563">
        <v>1</v>
      </c>
      <c r="R563" s="20">
        <f>SUM(Q563:Q568,Q578:Q583)</f>
        <v>12</v>
      </c>
    </row>
    <row r="564" spans="1:18" ht="20.100000000000001" customHeight="1">
      <c r="A564" s="7">
        <v>559</v>
      </c>
      <c r="B564" s="8">
        <v>3204382005</v>
      </c>
      <c r="C564" s="9" t="s">
        <v>2188</v>
      </c>
      <c r="D564" s="10" t="s">
        <v>22</v>
      </c>
      <c r="E564" s="11" t="s">
        <v>2189</v>
      </c>
      <c r="F564" s="11" t="s">
        <v>2190</v>
      </c>
      <c r="G564" s="9" t="s">
        <v>2191</v>
      </c>
      <c r="H564" s="9" t="s">
        <v>2187</v>
      </c>
      <c r="I564" s="9" t="s">
        <v>2182</v>
      </c>
      <c r="J564" s="9" t="s">
        <v>100</v>
      </c>
      <c r="K564" s="12" t="s">
        <v>19</v>
      </c>
      <c r="L564" s="13" t="s">
        <v>20</v>
      </c>
      <c r="M564" s="12" t="s">
        <v>2604</v>
      </c>
      <c r="N564" s="12" t="s">
        <v>2605</v>
      </c>
      <c r="O564" s="12" t="s">
        <v>2612</v>
      </c>
      <c r="P564" s="14" t="s">
        <v>2613</v>
      </c>
      <c r="Q564">
        <v>1</v>
      </c>
      <c r="R564" s="20"/>
    </row>
    <row r="565" spans="1:18" ht="20.100000000000001" customHeight="1">
      <c r="A565" s="7">
        <v>560</v>
      </c>
      <c r="B565" s="8">
        <v>3204382005</v>
      </c>
      <c r="C565" s="9" t="s">
        <v>2192</v>
      </c>
      <c r="D565" s="10" t="s">
        <v>22</v>
      </c>
      <c r="E565" s="11" t="s">
        <v>2193</v>
      </c>
      <c r="F565" s="11" t="s">
        <v>2194</v>
      </c>
      <c r="G565" s="9" t="s">
        <v>2195</v>
      </c>
      <c r="H565" s="9" t="s">
        <v>2187</v>
      </c>
      <c r="I565" s="9" t="s">
        <v>2182</v>
      </c>
      <c r="J565" s="9" t="s">
        <v>100</v>
      </c>
      <c r="K565" s="12" t="s">
        <v>19</v>
      </c>
      <c r="L565" s="13" t="s">
        <v>20</v>
      </c>
      <c r="M565" s="12" t="s">
        <v>2604</v>
      </c>
      <c r="N565" s="12" t="s">
        <v>2605</v>
      </c>
      <c r="O565" s="12" t="s">
        <v>2608</v>
      </c>
      <c r="P565" s="14" t="s">
        <v>2607</v>
      </c>
      <c r="Q565">
        <v>1</v>
      </c>
      <c r="R565" s="20"/>
    </row>
    <row r="566" spans="1:18" ht="20.100000000000001" customHeight="1">
      <c r="A566" s="7">
        <v>561</v>
      </c>
      <c r="B566" s="8">
        <v>3204382005</v>
      </c>
      <c r="C566" s="9" t="s">
        <v>2196</v>
      </c>
      <c r="D566" s="10" t="s">
        <v>22</v>
      </c>
      <c r="E566" s="11" t="s">
        <v>2197</v>
      </c>
      <c r="F566" s="11" t="s">
        <v>2198</v>
      </c>
      <c r="G566" s="9" t="s">
        <v>2199</v>
      </c>
      <c r="H566" s="9" t="s">
        <v>2187</v>
      </c>
      <c r="I566" s="9" t="s">
        <v>2182</v>
      </c>
      <c r="J566" s="9" t="s">
        <v>100</v>
      </c>
      <c r="K566" s="12" t="s">
        <v>19</v>
      </c>
      <c r="L566" s="13" t="s">
        <v>20</v>
      </c>
      <c r="M566" s="12" t="s">
        <v>2604</v>
      </c>
      <c r="N566" s="12" t="s">
        <v>2605</v>
      </c>
      <c r="O566" s="12" t="s">
        <v>2627</v>
      </c>
      <c r="P566" s="14" t="s">
        <v>2610</v>
      </c>
      <c r="Q566">
        <v>1</v>
      </c>
      <c r="R566" s="20"/>
    </row>
    <row r="567" spans="1:18" ht="20.100000000000001" customHeight="1">
      <c r="A567" s="7">
        <v>562</v>
      </c>
      <c r="B567" s="8">
        <v>3204382005</v>
      </c>
      <c r="C567" s="9" t="s">
        <v>2200</v>
      </c>
      <c r="D567" s="10" t="s">
        <v>18</v>
      </c>
      <c r="E567" s="11" t="s">
        <v>2201</v>
      </c>
      <c r="F567" s="11" t="s">
        <v>2202</v>
      </c>
      <c r="G567" s="9" t="s">
        <v>2203</v>
      </c>
      <c r="H567" s="9" t="s">
        <v>2187</v>
      </c>
      <c r="I567" s="9" t="s">
        <v>2182</v>
      </c>
      <c r="J567" s="9" t="s">
        <v>100</v>
      </c>
      <c r="K567" s="12" t="s">
        <v>19</v>
      </c>
      <c r="L567" s="13" t="s">
        <v>20</v>
      </c>
      <c r="M567" s="12" t="s">
        <v>2604</v>
      </c>
      <c r="N567" s="12" t="s">
        <v>2605</v>
      </c>
      <c r="O567" s="12" t="s">
        <v>2611</v>
      </c>
      <c r="P567" s="14" t="s">
        <v>2607</v>
      </c>
      <c r="Q567">
        <v>1</v>
      </c>
      <c r="R567" s="20"/>
    </row>
    <row r="568" spans="1:18" ht="20.100000000000001" customHeight="1">
      <c r="A568" s="7">
        <v>563</v>
      </c>
      <c r="B568" s="8">
        <v>3204382005</v>
      </c>
      <c r="C568" s="9" t="s">
        <v>169</v>
      </c>
      <c r="D568" s="10" t="s">
        <v>18</v>
      </c>
      <c r="E568" s="11" t="s">
        <v>2204</v>
      </c>
      <c r="F568" s="11" t="s">
        <v>2205</v>
      </c>
      <c r="G568" s="9" t="s">
        <v>2206</v>
      </c>
      <c r="H568" s="9" t="s">
        <v>2187</v>
      </c>
      <c r="I568" s="9" t="s">
        <v>2182</v>
      </c>
      <c r="J568" s="9" t="s">
        <v>100</v>
      </c>
      <c r="K568" s="12" t="s">
        <v>19</v>
      </c>
      <c r="L568" s="13" t="s">
        <v>20</v>
      </c>
      <c r="M568" s="12" t="s">
        <v>2604</v>
      </c>
      <c r="N568" s="12" t="s">
        <v>2605</v>
      </c>
      <c r="O568" s="12" t="s">
        <v>2606</v>
      </c>
      <c r="P568" s="14" t="s">
        <v>2607</v>
      </c>
      <c r="Q568">
        <v>1</v>
      </c>
      <c r="R568" s="20"/>
    </row>
    <row r="569" spans="1:18" ht="20.100000000000001" customHeight="1">
      <c r="A569" s="7">
        <v>564</v>
      </c>
      <c r="B569" s="8">
        <v>3204382002</v>
      </c>
      <c r="C569" s="9" t="s">
        <v>2207</v>
      </c>
      <c r="D569" s="10" t="s">
        <v>22</v>
      </c>
      <c r="E569" s="11" t="s">
        <v>2208</v>
      </c>
      <c r="F569" s="11" t="s">
        <v>2209</v>
      </c>
      <c r="G569" s="9" t="s">
        <v>2210</v>
      </c>
      <c r="H569" s="9" t="s">
        <v>37</v>
      </c>
      <c r="I569" s="9" t="s">
        <v>2182</v>
      </c>
      <c r="J569" s="9" t="s">
        <v>100</v>
      </c>
      <c r="K569" s="12" t="s">
        <v>19</v>
      </c>
      <c r="L569" s="13" t="s">
        <v>20</v>
      </c>
      <c r="M569" s="12" t="s">
        <v>2604</v>
      </c>
      <c r="N569" s="12" t="s">
        <v>2605</v>
      </c>
      <c r="O569" s="12" t="s">
        <v>2624</v>
      </c>
      <c r="P569" s="14" t="s">
        <v>2615</v>
      </c>
      <c r="Q569">
        <v>1</v>
      </c>
      <c r="R569" s="20">
        <f>SUM(Q569:Q577,Q562)</f>
        <v>10</v>
      </c>
    </row>
    <row r="570" spans="1:18" ht="20.100000000000001" customHeight="1">
      <c r="A570" s="7">
        <v>565</v>
      </c>
      <c r="B570" s="8">
        <v>3204382002</v>
      </c>
      <c r="C570" s="9" t="s">
        <v>2211</v>
      </c>
      <c r="D570" s="10" t="s">
        <v>22</v>
      </c>
      <c r="E570" s="11" t="s">
        <v>2212</v>
      </c>
      <c r="F570" s="11" t="s">
        <v>2213</v>
      </c>
      <c r="G570" s="9" t="s">
        <v>2214</v>
      </c>
      <c r="H570" s="9" t="s">
        <v>37</v>
      </c>
      <c r="I570" s="9" t="s">
        <v>2182</v>
      </c>
      <c r="J570" s="9" t="s">
        <v>100</v>
      </c>
      <c r="K570" s="12" t="s">
        <v>19</v>
      </c>
      <c r="L570" s="13" t="s">
        <v>20</v>
      </c>
      <c r="M570" s="12" t="s">
        <v>2604</v>
      </c>
      <c r="N570" s="12" t="s">
        <v>2605</v>
      </c>
      <c r="O570" s="12" t="s">
        <v>2606</v>
      </c>
      <c r="P570" s="14" t="s">
        <v>2607</v>
      </c>
      <c r="Q570">
        <v>1</v>
      </c>
      <c r="R570" s="20"/>
    </row>
    <row r="571" spans="1:18" ht="20.100000000000001" customHeight="1">
      <c r="A571" s="7">
        <v>566</v>
      </c>
      <c r="B571" s="8">
        <v>3204382002</v>
      </c>
      <c r="C571" s="9" t="s">
        <v>2215</v>
      </c>
      <c r="D571" s="10" t="s">
        <v>22</v>
      </c>
      <c r="E571" s="11" t="s">
        <v>2216</v>
      </c>
      <c r="F571" s="11" t="s">
        <v>2217</v>
      </c>
      <c r="G571" s="9" t="s">
        <v>2214</v>
      </c>
      <c r="H571" s="9" t="s">
        <v>37</v>
      </c>
      <c r="I571" s="9" t="s">
        <v>2182</v>
      </c>
      <c r="J571" s="9" t="s">
        <v>100</v>
      </c>
      <c r="K571" s="12" t="s">
        <v>19</v>
      </c>
      <c r="L571" s="13" t="s">
        <v>20</v>
      </c>
      <c r="M571" s="12" t="s">
        <v>2604</v>
      </c>
      <c r="N571" s="12" t="s">
        <v>2605</v>
      </c>
      <c r="O571" s="12" t="s">
        <v>2627</v>
      </c>
      <c r="P571" s="14" t="s">
        <v>2610</v>
      </c>
      <c r="Q571">
        <v>1</v>
      </c>
      <c r="R571" s="20"/>
    </row>
    <row r="572" spans="1:18" ht="20.100000000000001" customHeight="1">
      <c r="A572" s="7">
        <v>567</v>
      </c>
      <c r="B572" s="8">
        <v>3204382002</v>
      </c>
      <c r="C572" s="9" t="s">
        <v>59</v>
      </c>
      <c r="D572" s="10" t="s">
        <v>22</v>
      </c>
      <c r="E572" s="11" t="s">
        <v>2218</v>
      </c>
      <c r="F572" s="11" t="s">
        <v>2219</v>
      </c>
      <c r="G572" s="9" t="s">
        <v>2220</v>
      </c>
      <c r="H572" s="9" t="s">
        <v>37</v>
      </c>
      <c r="I572" s="9" t="s">
        <v>2182</v>
      </c>
      <c r="J572" s="9" t="s">
        <v>100</v>
      </c>
      <c r="K572" s="12" t="s">
        <v>19</v>
      </c>
      <c r="L572" s="13" t="s">
        <v>20</v>
      </c>
      <c r="M572" s="12" t="s">
        <v>2604</v>
      </c>
      <c r="N572" s="12" t="s">
        <v>2605</v>
      </c>
      <c r="O572" s="12" t="s">
        <v>2624</v>
      </c>
      <c r="P572" s="14" t="s">
        <v>2615</v>
      </c>
      <c r="Q572">
        <v>1</v>
      </c>
      <c r="R572" s="20"/>
    </row>
    <row r="573" spans="1:18" ht="20.100000000000001" customHeight="1">
      <c r="A573" s="7">
        <v>568</v>
      </c>
      <c r="B573" s="8">
        <v>3204382002</v>
      </c>
      <c r="C573" s="9" t="s">
        <v>2221</v>
      </c>
      <c r="D573" s="10" t="s">
        <v>22</v>
      </c>
      <c r="E573" s="11" t="s">
        <v>2222</v>
      </c>
      <c r="F573" s="11" t="s">
        <v>2223</v>
      </c>
      <c r="G573" s="9" t="s">
        <v>2224</v>
      </c>
      <c r="H573" s="9" t="s">
        <v>37</v>
      </c>
      <c r="I573" s="9" t="s">
        <v>2182</v>
      </c>
      <c r="J573" s="9" t="s">
        <v>100</v>
      </c>
      <c r="K573" s="12" t="s">
        <v>19</v>
      </c>
      <c r="L573" s="13" t="s">
        <v>20</v>
      </c>
      <c r="M573" s="12" t="s">
        <v>2604</v>
      </c>
      <c r="N573" s="12" t="s">
        <v>2605</v>
      </c>
      <c r="O573" s="12" t="s">
        <v>2624</v>
      </c>
      <c r="P573" s="14" t="s">
        <v>2615</v>
      </c>
      <c r="Q573">
        <v>1</v>
      </c>
      <c r="R573" s="20"/>
    </row>
    <row r="574" spans="1:18" ht="20.100000000000001" customHeight="1">
      <c r="A574" s="7">
        <v>569</v>
      </c>
      <c r="B574" s="8">
        <v>3204382002</v>
      </c>
      <c r="C574" s="9" t="s">
        <v>2225</v>
      </c>
      <c r="D574" s="10" t="s">
        <v>22</v>
      </c>
      <c r="E574" s="11" t="s">
        <v>2226</v>
      </c>
      <c r="F574" s="11" t="s">
        <v>2227</v>
      </c>
      <c r="G574" s="9" t="s">
        <v>2228</v>
      </c>
      <c r="H574" s="9" t="s">
        <v>37</v>
      </c>
      <c r="I574" s="9" t="s">
        <v>2182</v>
      </c>
      <c r="J574" s="9" t="s">
        <v>100</v>
      </c>
      <c r="K574" s="12" t="s">
        <v>19</v>
      </c>
      <c r="L574" s="13" t="s">
        <v>20</v>
      </c>
      <c r="M574" s="12" t="s">
        <v>2604</v>
      </c>
      <c r="N574" s="12" t="s">
        <v>2605</v>
      </c>
      <c r="O574" s="12" t="s">
        <v>2628</v>
      </c>
      <c r="P574" s="14" t="s">
        <v>2615</v>
      </c>
      <c r="Q574">
        <v>1</v>
      </c>
      <c r="R574" s="20"/>
    </row>
    <row r="575" spans="1:18" ht="20.100000000000001" customHeight="1">
      <c r="A575" s="7">
        <v>570</v>
      </c>
      <c r="B575" s="8">
        <v>3204382002</v>
      </c>
      <c r="C575" s="9" t="s">
        <v>2229</v>
      </c>
      <c r="D575" s="10" t="s">
        <v>22</v>
      </c>
      <c r="E575" s="11" t="s">
        <v>2230</v>
      </c>
      <c r="F575" s="11" t="s">
        <v>2231</v>
      </c>
      <c r="G575" s="9" t="s">
        <v>2232</v>
      </c>
      <c r="H575" s="9" t="s">
        <v>37</v>
      </c>
      <c r="I575" s="9" t="s">
        <v>2182</v>
      </c>
      <c r="J575" s="9" t="s">
        <v>100</v>
      </c>
      <c r="K575" s="12" t="s">
        <v>19</v>
      </c>
      <c r="L575" s="13" t="s">
        <v>20</v>
      </c>
      <c r="M575" s="12" t="s">
        <v>2604</v>
      </c>
      <c r="N575" s="12" t="s">
        <v>2605</v>
      </c>
      <c r="O575" s="12" t="s">
        <v>195</v>
      </c>
      <c r="P575" s="14" t="s">
        <v>2621</v>
      </c>
      <c r="Q575">
        <v>1</v>
      </c>
      <c r="R575" s="20"/>
    </row>
    <row r="576" spans="1:18" ht="20.100000000000001" customHeight="1">
      <c r="A576" s="7">
        <v>571</v>
      </c>
      <c r="B576" s="8">
        <v>3204382002</v>
      </c>
      <c r="C576" s="9" t="s">
        <v>2233</v>
      </c>
      <c r="D576" s="10" t="s">
        <v>18</v>
      </c>
      <c r="E576" s="11" t="s">
        <v>2234</v>
      </c>
      <c r="F576" s="11" t="s">
        <v>2235</v>
      </c>
      <c r="G576" s="9" t="s">
        <v>2236</v>
      </c>
      <c r="H576" s="9" t="s">
        <v>37</v>
      </c>
      <c r="I576" s="9" t="s">
        <v>2182</v>
      </c>
      <c r="J576" s="9" t="s">
        <v>100</v>
      </c>
      <c r="K576" s="12" t="s">
        <v>19</v>
      </c>
      <c r="L576" s="13" t="s">
        <v>20</v>
      </c>
      <c r="M576" s="12" t="s">
        <v>2604</v>
      </c>
      <c r="N576" s="12" t="s">
        <v>2605</v>
      </c>
      <c r="O576" s="12" t="s">
        <v>2627</v>
      </c>
      <c r="P576" s="14" t="s">
        <v>2610</v>
      </c>
      <c r="Q576">
        <v>1</v>
      </c>
      <c r="R576" s="20"/>
    </row>
    <row r="577" spans="1:18" ht="20.100000000000001" customHeight="1">
      <c r="A577" s="7">
        <v>572</v>
      </c>
      <c r="B577" s="8">
        <v>3204382002</v>
      </c>
      <c r="C577" s="9" t="s">
        <v>2237</v>
      </c>
      <c r="D577" s="10" t="s">
        <v>22</v>
      </c>
      <c r="E577" s="11" t="s">
        <v>2238</v>
      </c>
      <c r="F577" s="11" t="s">
        <v>2239</v>
      </c>
      <c r="G577" s="9" t="s">
        <v>2240</v>
      </c>
      <c r="H577" s="9" t="s">
        <v>37</v>
      </c>
      <c r="I577" s="9" t="s">
        <v>2182</v>
      </c>
      <c r="J577" s="9" t="s">
        <v>100</v>
      </c>
      <c r="K577" s="12" t="s">
        <v>19</v>
      </c>
      <c r="L577" s="13" t="s">
        <v>20</v>
      </c>
      <c r="M577" s="12" t="s">
        <v>2604</v>
      </c>
      <c r="N577" s="12" t="s">
        <v>2605</v>
      </c>
      <c r="O577" s="12" t="s">
        <v>2614</v>
      </c>
      <c r="P577" s="14" t="s">
        <v>2615</v>
      </c>
      <c r="Q577">
        <v>1</v>
      </c>
      <c r="R577" s="20"/>
    </row>
    <row r="578" spans="1:18" ht="20.100000000000001" customHeight="1">
      <c r="A578" s="7">
        <v>573</v>
      </c>
      <c r="B578" s="8">
        <v>3204382005</v>
      </c>
      <c r="C578" s="9" t="s">
        <v>2241</v>
      </c>
      <c r="D578" s="10" t="s">
        <v>22</v>
      </c>
      <c r="E578" s="11" t="s">
        <v>2242</v>
      </c>
      <c r="F578" s="11" t="s">
        <v>2243</v>
      </c>
      <c r="G578" s="9" t="s">
        <v>2244</v>
      </c>
      <c r="H578" s="9" t="s">
        <v>2187</v>
      </c>
      <c r="I578" s="9" t="s">
        <v>2182</v>
      </c>
      <c r="J578" s="9" t="s">
        <v>100</v>
      </c>
      <c r="K578" s="12" t="s">
        <v>19</v>
      </c>
      <c r="L578" s="13" t="s">
        <v>20</v>
      </c>
      <c r="M578" s="12" t="s">
        <v>2604</v>
      </c>
      <c r="N578" s="12" t="s">
        <v>2605</v>
      </c>
      <c r="O578" s="12" t="s">
        <v>2616</v>
      </c>
      <c r="P578" s="14" t="s">
        <v>2607</v>
      </c>
      <c r="Q578">
        <v>1</v>
      </c>
      <c r="R578" s="20"/>
    </row>
    <row r="579" spans="1:18" ht="20.100000000000001" customHeight="1">
      <c r="A579" s="7">
        <v>574</v>
      </c>
      <c r="B579" s="8">
        <v>3204382005</v>
      </c>
      <c r="C579" s="9" t="s">
        <v>2245</v>
      </c>
      <c r="D579" s="10" t="s">
        <v>18</v>
      </c>
      <c r="E579" s="11" t="s">
        <v>2246</v>
      </c>
      <c r="F579" s="11" t="s">
        <v>2247</v>
      </c>
      <c r="G579" s="9" t="s">
        <v>2248</v>
      </c>
      <c r="H579" s="9" t="s">
        <v>2187</v>
      </c>
      <c r="I579" s="9" t="s">
        <v>2182</v>
      </c>
      <c r="J579" s="9" t="s">
        <v>100</v>
      </c>
      <c r="K579" s="12" t="s">
        <v>19</v>
      </c>
      <c r="L579" s="13" t="s">
        <v>20</v>
      </c>
      <c r="M579" s="12" t="s">
        <v>2604</v>
      </c>
      <c r="N579" s="12" t="s">
        <v>2605</v>
      </c>
      <c r="O579" s="12" t="s">
        <v>195</v>
      </c>
      <c r="P579" s="14" t="s">
        <v>2621</v>
      </c>
      <c r="Q579">
        <v>1</v>
      </c>
      <c r="R579" s="20"/>
    </row>
    <row r="580" spans="1:18" ht="20.100000000000001" customHeight="1">
      <c r="A580" s="7">
        <v>575</v>
      </c>
      <c r="B580" s="8">
        <v>3204382005</v>
      </c>
      <c r="C580" s="9" t="s">
        <v>2249</v>
      </c>
      <c r="D580" s="10" t="s">
        <v>18</v>
      </c>
      <c r="E580" s="11" t="s">
        <v>2250</v>
      </c>
      <c r="F580" s="11" t="s">
        <v>2251</v>
      </c>
      <c r="G580" s="9" t="s">
        <v>2252</v>
      </c>
      <c r="H580" s="9" t="s">
        <v>2187</v>
      </c>
      <c r="I580" s="9" t="s">
        <v>2182</v>
      </c>
      <c r="J580" s="9" t="s">
        <v>100</v>
      </c>
      <c r="K580" s="12" t="s">
        <v>19</v>
      </c>
      <c r="L580" s="13" t="s">
        <v>20</v>
      </c>
      <c r="M580" s="12" t="s">
        <v>2604</v>
      </c>
      <c r="N580" s="12" t="s">
        <v>2605</v>
      </c>
      <c r="O580" s="12" t="s">
        <v>2617</v>
      </c>
      <c r="P580" s="14" t="s">
        <v>2610</v>
      </c>
      <c r="Q580">
        <v>1</v>
      </c>
      <c r="R580" s="20"/>
    </row>
    <row r="581" spans="1:18" ht="20.100000000000001" customHeight="1">
      <c r="A581" s="7">
        <v>576</v>
      </c>
      <c r="B581" s="8">
        <v>3204382005</v>
      </c>
      <c r="C581" s="9" t="s">
        <v>139</v>
      </c>
      <c r="D581" s="10" t="s">
        <v>22</v>
      </c>
      <c r="E581" s="11" t="s">
        <v>2253</v>
      </c>
      <c r="F581" s="11" t="s">
        <v>2254</v>
      </c>
      <c r="G581" s="9" t="s">
        <v>2255</v>
      </c>
      <c r="H581" s="9" t="s">
        <v>2187</v>
      </c>
      <c r="I581" s="9" t="s">
        <v>2182</v>
      </c>
      <c r="J581" s="9" t="s">
        <v>100</v>
      </c>
      <c r="K581" s="12" t="s">
        <v>19</v>
      </c>
      <c r="L581" s="13" t="s">
        <v>20</v>
      </c>
      <c r="M581" s="12" t="s">
        <v>2604</v>
      </c>
      <c r="N581" s="12" t="s">
        <v>2605</v>
      </c>
      <c r="O581" s="12" t="s">
        <v>2606</v>
      </c>
      <c r="P581" s="14" t="s">
        <v>2607</v>
      </c>
      <c r="Q581">
        <v>1</v>
      </c>
      <c r="R581" s="20"/>
    </row>
    <row r="582" spans="1:18" ht="20.100000000000001" customHeight="1">
      <c r="A582" s="7">
        <v>577</v>
      </c>
      <c r="B582" s="8">
        <v>3204382005</v>
      </c>
      <c r="C582" s="9" t="s">
        <v>79</v>
      </c>
      <c r="D582" s="10" t="s">
        <v>18</v>
      </c>
      <c r="E582" s="11" t="s">
        <v>2256</v>
      </c>
      <c r="F582" s="11" t="s">
        <v>2257</v>
      </c>
      <c r="G582" s="9" t="s">
        <v>2255</v>
      </c>
      <c r="H582" s="9" t="s">
        <v>2187</v>
      </c>
      <c r="I582" s="9" t="s">
        <v>2182</v>
      </c>
      <c r="J582" s="9" t="s">
        <v>100</v>
      </c>
      <c r="K582" s="12" t="s">
        <v>19</v>
      </c>
      <c r="L582" s="13" t="s">
        <v>20</v>
      </c>
      <c r="M582" s="12" t="s">
        <v>2604</v>
      </c>
      <c r="N582" s="12" t="s">
        <v>2605</v>
      </c>
      <c r="O582" s="12" t="s">
        <v>2633</v>
      </c>
      <c r="P582" s="14" t="s">
        <v>2610</v>
      </c>
      <c r="Q582">
        <v>1</v>
      </c>
      <c r="R582" s="20"/>
    </row>
    <row r="583" spans="1:18" ht="20.100000000000001" customHeight="1">
      <c r="A583" s="7">
        <v>578</v>
      </c>
      <c r="B583" s="8">
        <v>3204382005</v>
      </c>
      <c r="C583" s="9" t="s">
        <v>2258</v>
      </c>
      <c r="D583" s="10" t="s">
        <v>18</v>
      </c>
      <c r="E583" s="11" t="s">
        <v>2259</v>
      </c>
      <c r="F583" s="11" t="s">
        <v>2260</v>
      </c>
      <c r="G583" s="9" t="s">
        <v>2261</v>
      </c>
      <c r="H583" s="9" t="s">
        <v>2187</v>
      </c>
      <c r="I583" s="9" t="s">
        <v>2182</v>
      </c>
      <c r="J583" s="9" t="s">
        <v>100</v>
      </c>
      <c r="K583" s="12" t="s">
        <v>19</v>
      </c>
      <c r="L583" s="13" t="s">
        <v>20</v>
      </c>
      <c r="M583" s="12" t="s">
        <v>2604</v>
      </c>
      <c r="N583" s="12" t="s">
        <v>2605</v>
      </c>
      <c r="O583" s="12" t="s">
        <v>2618</v>
      </c>
      <c r="P583" s="14" t="s">
        <v>2610</v>
      </c>
      <c r="Q583">
        <v>1</v>
      </c>
      <c r="R583" s="20"/>
    </row>
    <row r="584" spans="1:18" ht="20.100000000000001" customHeight="1">
      <c r="A584" s="7">
        <v>579</v>
      </c>
      <c r="B584" s="8">
        <v>3204402005</v>
      </c>
      <c r="C584" s="9" t="s">
        <v>2262</v>
      </c>
      <c r="D584" s="10" t="s">
        <v>22</v>
      </c>
      <c r="E584" s="11" t="s">
        <v>2263</v>
      </c>
      <c r="F584" s="11" t="s">
        <v>2264</v>
      </c>
      <c r="G584" s="9" t="s">
        <v>1580</v>
      </c>
      <c r="H584" s="9" t="s">
        <v>2265</v>
      </c>
      <c r="I584" s="9" t="s">
        <v>2266</v>
      </c>
      <c r="J584" s="9" t="s">
        <v>100</v>
      </c>
      <c r="K584" s="12" t="s">
        <v>19</v>
      </c>
      <c r="L584" s="13" t="s">
        <v>20</v>
      </c>
      <c r="M584" s="12" t="s">
        <v>2604</v>
      </c>
      <c r="N584" s="12" t="s">
        <v>2605</v>
      </c>
      <c r="O584" s="12" t="s">
        <v>195</v>
      </c>
      <c r="P584" s="14" t="s">
        <v>2621</v>
      </c>
      <c r="Q584">
        <v>1</v>
      </c>
      <c r="R584" s="20">
        <f>SUM(Q584:Q596)</f>
        <v>13</v>
      </c>
    </row>
    <row r="585" spans="1:18" ht="20.100000000000001" customHeight="1">
      <c r="A585" s="7">
        <v>580</v>
      </c>
      <c r="B585" s="8">
        <v>3204402005</v>
      </c>
      <c r="C585" s="9" t="s">
        <v>2267</v>
      </c>
      <c r="D585" s="10" t="s">
        <v>22</v>
      </c>
      <c r="E585" s="11" t="s">
        <v>2268</v>
      </c>
      <c r="F585" s="11" t="s">
        <v>2269</v>
      </c>
      <c r="G585" s="9" t="s">
        <v>2270</v>
      </c>
      <c r="H585" s="9" t="s">
        <v>2265</v>
      </c>
      <c r="I585" s="9" t="s">
        <v>2266</v>
      </c>
      <c r="J585" s="9" t="s">
        <v>100</v>
      </c>
      <c r="K585" s="12" t="s">
        <v>19</v>
      </c>
      <c r="L585" s="13" t="s">
        <v>20</v>
      </c>
      <c r="M585" s="12" t="s">
        <v>2604</v>
      </c>
      <c r="N585" s="12" t="s">
        <v>2605</v>
      </c>
      <c r="O585" s="12" t="s">
        <v>195</v>
      </c>
      <c r="P585" s="14" t="s">
        <v>2621</v>
      </c>
      <c r="Q585">
        <v>1</v>
      </c>
      <c r="R585" s="20"/>
    </row>
    <row r="586" spans="1:18" ht="20.100000000000001" customHeight="1">
      <c r="A586" s="7">
        <v>581</v>
      </c>
      <c r="B586" s="8">
        <v>3204402005</v>
      </c>
      <c r="C586" s="9" t="s">
        <v>2271</v>
      </c>
      <c r="D586" s="10" t="s">
        <v>22</v>
      </c>
      <c r="E586" s="11" t="s">
        <v>2272</v>
      </c>
      <c r="F586" s="11" t="s">
        <v>2273</v>
      </c>
      <c r="G586" s="9" t="s">
        <v>2274</v>
      </c>
      <c r="H586" s="9" t="s">
        <v>2265</v>
      </c>
      <c r="I586" s="9" t="s">
        <v>2266</v>
      </c>
      <c r="J586" s="9" t="s">
        <v>100</v>
      </c>
      <c r="K586" s="12" t="s">
        <v>19</v>
      </c>
      <c r="L586" s="13" t="s">
        <v>20</v>
      </c>
      <c r="M586" s="12" t="s">
        <v>2604</v>
      </c>
      <c r="N586" s="12" t="s">
        <v>2605</v>
      </c>
      <c r="O586" s="12" t="s">
        <v>195</v>
      </c>
      <c r="P586" s="14" t="s">
        <v>2621</v>
      </c>
      <c r="Q586">
        <v>1</v>
      </c>
      <c r="R586" s="20"/>
    </row>
    <row r="587" spans="1:18" ht="20.100000000000001" customHeight="1">
      <c r="A587" s="7">
        <v>582</v>
      </c>
      <c r="B587" s="8">
        <v>3204402005</v>
      </c>
      <c r="C587" s="9" t="s">
        <v>2275</v>
      </c>
      <c r="D587" s="10" t="s">
        <v>22</v>
      </c>
      <c r="E587" s="11" t="s">
        <v>2276</v>
      </c>
      <c r="F587" s="11" t="s">
        <v>2277</v>
      </c>
      <c r="G587" s="9" t="s">
        <v>2278</v>
      </c>
      <c r="H587" s="9" t="s">
        <v>2265</v>
      </c>
      <c r="I587" s="9" t="s">
        <v>2266</v>
      </c>
      <c r="J587" s="9" t="s">
        <v>100</v>
      </c>
      <c r="K587" s="12" t="s">
        <v>19</v>
      </c>
      <c r="L587" s="13" t="s">
        <v>20</v>
      </c>
      <c r="M587" s="12" t="s">
        <v>2604</v>
      </c>
      <c r="N587" s="12" t="s">
        <v>2605</v>
      </c>
      <c r="O587" s="12" t="s">
        <v>195</v>
      </c>
      <c r="P587" s="14" t="s">
        <v>2621</v>
      </c>
      <c r="Q587">
        <v>1</v>
      </c>
      <c r="R587" s="20"/>
    </row>
    <row r="588" spans="1:18" ht="20.100000000000001" customHeight="1">
      <c r="A588" s="7">
        <v>583</v>
      </c>
      <c r="B588" s="8">
        <v>3204402005</v>
      </c>
      <c r="C588" s="9" t="s">
        <v>2279</v>
      </c>
      <c r="D588" s="10" t="s">
        <v>22</v>
      </c>
      <c r="E588" s="11" t="s">
        <v>2280</v>
      </c>
      <c r="F588" s="11" t="s">
        <v>2281</v>
      </c>
      <c r="G588" s="9" t="s">
        <v>1580</v>
      </c>
      <c r="H588" s="9" t="s">
        <v>2265</v>
      </c>
      <c r="I588" s="9" t="s">
        <v>2266</v>
      </c>
      <c r="J588" s="9" t="s">
        <v>100</v>
      </c>
      <c r="K588" s="12" t="s">
        <v>19</v>
      </c>
      <c r="L588" s="13" t="s">
        <v>20</v>
      </c>
      <c r="M588" s="12" t="s">
        <v>2604</v>
      </c>
      <c r="N588" s="12" t="s">
        <v>2605</v>
      </c>
      <c r="O588" s="12" t="s">
        <v>195</v>
      </c>
      <c r="P588" s="14" t="s">
        <v>2621</v>
      </c>
      <c r="Q588">
        <v>1</v>
      </c>
      <c r="R588" s="20"/>
    </row>
    <row r="589" spans="1:18" ht="20.100000000000001" customHeight="1">
      <c r="A589" s="7">
        <v>584</v>
      </c>
      <c r="B589" s="8">
        <v>3204402005</v>
      </c>
      <c r="C589" s="9" t="s">
        <v>2282</v>
      </c>
      <c r="D589" s="10" t="s">
        <v>22</v>
      </c>
      <c r="E589" s="11" t="s">
        <v>2283</v>
      </c>
      <c r="F589" s="11" t="s">
        <v>2284</v>
      </c>
      <c r="G589" s="9" t="s">
        <v>2270</v>
      </c>
      <c r="H589" s="9" t="s">
        <v>2265</v>
      </c>
      <c r="I589" s="9" t="s">
        <v>2266</v>
      </c>
      <c r="J589" s="9" t="s">
        <v>100</v>
      </c>
      <c r="K589" s="12" t="s">
        <v>19</v>
      </c>
      <c r="L589" s="13" t="s">
        <v>20</v>
      </c>
      <c r="M589" s="12" t="s">
        <v>2604</v>
      </c>
      <c r="N589" s="12" t="s">
        <v>2605</v>
      </c>
      <c r="O589" s="12" t="s">
        <v>195</v>
      </c>
      <c r="P589" s="14" t="s">
        <v>2621</v>
      </c>
      <c r="Q589">
        <v>1</v>
      </c>
      <c r="R589" s="20"/>
    </row>
    <row r="590" spans="1:18" ht="20.100000000000001" customHeight="1">
      <c r="A590" s="7">
        <v>585</v>
      </c>
      <c r="B590" s="8">
        <v>3204402005</v>
      </c>
      <c r="C590" s="9" t="s">
        <v>2285</v>
      </c>
      <c r="D590" s="10" t="s">
        <v>22</v>
      </c>
      <c r="E590" s="11" t="s">
        <v>2286</v>
      </c>
      <c r="F590" s="11" t="s">
        <v>2287</v>
      </c>
      <c r="G590" s="9" t="s">
        <v>2288</v>
      </c>
      <c r="H590" s="9" t="s">
        <v>2265</v>
      </c>
      <c r="I590" s="9" t="s">
        <v>2266</v>
      </c>
      <c r="J590" s="9" t="s">
        <v>100</v>
      </c>
      <c r="K590" s="12" t="s">
        <v>19</v>
      </c>
      <c r="L590" s="13" t="s">
        <v>20</v>
      </c>
      <c r="M590" s="12" t="s">
        <v>2604</v>
      </c>
      <c r="N590" s="12" t="s">
        <v>2605</v>
      </c>
      <c r="O590" s="12" t="s">
        <v>195</v>
      </c>
      <c r="P590" s="14" t="s">
        <v>2621</v>
      </c>
      <c r="Q590">
        <v>1</v>
      </c>
      <c r="R590" s="20"/>
    </row>
    <row r="591" spans="1:18" ht="20.100000000000001" customHeight="1">
      <c r="A591" s="7">
        <v>586</v>
      </c>
      <c r="B591" s="8">
        <v>3204402005</v>
      </c>
      <c r="C591" s="9" t="s">
        <v>2289</v>
      </c>
      <c r="D591" s="10" t="s">
        <v>22</v>
      </c>
      <c r="E591" s="11" t="s">
        <v>2290</v>
      </c>
      <c r="F591" s="11" t="s">
        <v>2291</v>
      </c>
      <c r="G591" s="9" t="s">
        <v>2292</v>
      </c>
      <c r="H591" s="9" t="s">
        <v>2265</v>
      </c>
      <c r="I591" s="9" t="s">
        <v>2266</v>
      </c>
      <c r="J591" s="9" t="s">
        <v>100</v>
      </c>
      <c r="K591" s="12" t="s">
        <v>19</v>
      </c>
      <c r="L591" s="13" t="s">
        <v>20</v>
      </c>
      <c r="M591" s="12" t="s">
        <v>2604</v>
      </c>
      <c r="N591" s="12" t="s">
        <v>2605</v>
      </c>
      <c r="O591" s="12" t="s">
        <v>195</v>
      </c>
      <c r="P591" s="14" t="s">
        <v>2621</v>
      </c>
      <c r="Q591">
        <v>1</v>
      </c>
      <c r="R591" s="20"/>
    </row>
    <row r="592" spans="1:18" ht="20.100000000000001" customHeight="1">
      <c r="A592" s="7">
        <v>587</v>
      </c>
      <c r="B592" s="8">
        <v>3204402005</v>
      </c>
      <c r="C592" s="9" t="s">
        <v>2293</v>
      </c>
      <c r="D592" s="10" t="s">
        <v>22</v>
      </c>
      <c r="E592" s="11" t="s">
        <v>2294</v>
      </c>
      <c r="F592" s="11" t="s">
        <v>2295</v>
      </c>
      <c r="G592" s="9" t="s">
        <v>2296</v>
      </c>
      <c r="H592" s="9" t="s">
        <v>2265</v>
      </c>
      <c r="I592" s="9" t="s">
        <v>2266</v>
      </c>
      <c r="J592" s="9" t="s">
        <v>100</v>
      </c>
      <c r="K592" s="12" t="s">
        <v>19</v>
      </c>
      <c r="L592" s="13" t="s">
        <v>20</v>
      </c>
      <c r="M592" s="12" t="s">
        <v>2604</v>
      </c>
      <c r="N592" s="12" t="s">
        <v>2605</v>
      </c>
      <c r="O592" s="12" t="s">
        <v>195</v>
      </c>
      <c r="P592" s="14" t="s">
        <v>2621</v>
      </c>
      <c r="Q592">
        <v>1</v>
      </c>
      <c r="R592" s="20"/>
    </row>
    <row r="593" spans="1:18" ht="20.100000000000001" customHeight="1">
      <c r="A593" s="7">
        <v>588</v>
      </c>
      <c r="B593" s="8">
        <v>3204402005</v>
      </c>
      <c r="C593" s="9" t="s">
        <v>134</v>
      </c>
      <c r="D593" s="10" t="s">
        <v>22</v>
      </c>
      <c r="E593" s="11" t="s">
        <v>2297</v>
      </c>
      <c r="F593" s="11" t="s">
        <v>2298</v>
      </c>
      <c r="G593" s="9" t="s">
        <v>2299</v>
      </c>
      <c r="H593" s="9" t="s">
        <v>2265</v>
      </c>
      <c r="I593" s="9" t="s">
        <v>2266</v>
      </c>
      <c r="J593" s="9" t="s">
        <v>100</v>
      </c>
      <c r="K593" s="12" t="s">
        <v>19</v>
      </c>
      <c r="L593" s="13" t="s">
        <v>20</v>
      </c>
      <c r="M593" s="12" t="s">
        <v>2604</v>
      </c>
      <c r="N593" s="12" t="s">
        <v>2605</v>
      </c>
      <c r="O593" s="12" t="s">
        <v>195</v>
      </c>
      <c r="P593" s="14" t="s">
        <v>2621</v>
      </c>
      <c r="Q593">
        <v>1</v>
      </c>
      <c r="R593" s="20"/>
    </row>
    <row r="594" spans="1:18" ht="20.100000000000001" customHeight="1">
      <c r="A594" s="7">
        <v>589</v>
      </c>
      <c r="B594" s="8">
        <v>3204402005</v>
      </c>
      <c r="C594" s="9" t="s">
        <v>131</v>
      </c>
      <c r="D594" s="10" t="s">
        <v>22</v>
      </c>
      <c r="E594" s="11" t="s">
        <v>2300</v>
      </c>
      <c r="F594" s="11" t="s">
        <v>2301</v>
      </c>
      <c r="G594" s="9" t="s">
        <v>2302</v>
      </c>
      <c r="H594" s="9" t="s">
        <v>2265</v>
      </c>
      <c r="I594" s="9" t="s">
        <v>2266</v>
      </c>
      <c r="J594" s="9" t="s">
        <v>100</v>
      </c>
      <c r="K594" s="12" t="s">
        <v>19</v>
      </c>
      <c r="L594" s="13" t="s">
        <v>20</v>
      </c>
      <c r="M594" s="12" t="s">
        <v>2604</v>
      </c>
      <c r="N594" s="12" t="s">
        <v>2605</v>
      </c>
      <c r="O594" s="12" t="s">
        <v>195</v>
      </c>
      <c r="P594" s="14" t="s">
        <v>2621</v>
      </c>
      <c r="Q594">
        <v>1</v>
      </c>
      <c r="R594" s="20"/>
    </row>
    <row r="595" spans="1:18" ht="20.100000000000001" customHeight="1">
      <c r="A595" s="7">
        <v>590</v>
      </c>
      <c r="B595" s="8">
        <v>3204402005</v>
      </c>
      <c r="C595" s="9" t="s">
        <v>2303</v>
      </c>
      <c r="D595" s="10" t="s">
        <v>22</v>
      </c>
      <c r="E595" s="11" t="s">
        <v>2304</v>
      </c>
      <c r="F595" s="11" t="s">
        <v>2305</v>
      </c>
      <c r="G595" s="9" t="s">
        <v>2306</v>
      </c>
      <c r="H595" s="9" t="s">
        <v>2265</v>
      </c>
      <c r="I595" s="9" t="s">
        <v>2266</v>
      </c>
      <c r="J595" s="9" t="s">
        <v>100</v>
      </c>
      <c r="K595" s="12" t="s">
        <v>19</v>
      </c>
      <c r="L595" s="13" t="s">
        <v>20</v>
      </c>
      <c r="M595" s="12" t="s">
        <v>2604</v>
      </c>
      <c r="N595" s="12" t="s">
        <v>2605</v>
      </c>
      <c r="O595" s="12" t="s">
        <v>195</v>
      </c>
      <c r="P595" s="14" t="s">
        <v>2621</v>
      </c>
      <c r="Q595">
        <v>1</v>
      </c>
      <c r="R595" s="20"/>
    </row>
    <row r="596" spans="1:18" ht="20.100000000000001" customHeight="1">
      <c r="A596" s="7">
        <v>591</v>
      </c>
      <c r="B596" s="8">
        <v>3204402005</v>
      </c>
      <c r="C596" s="9" t="s">
        <v>2307</v>
      </c>
      <c r="D596" s="10" t="s">
        <v>22</v>
      </c>
      <c r="E596" s="11" t="s">
        <v>2308</v>
      </c>
      <c r="F596" s="11" t="s">
        <v>2309</v>
      </c>
      <c r="G596" s="9" t="s">
        <v>2302</v>
      </c>
      <c r="H596" s="9" t="s">
        <v>2265</v>
      </c>
      <c r="I596" s="9" t="s">
        <v>2266</v>
      </c>
      <c r="J596" s="9" t="s">
        <v>100</v>
      </c>
      <c r="K596" s="12" t="s">
        <v>19</v>
      </c>
      <c r="L596" s="13" t="s">
        <v>20</v>
      </c>
      <c r="M596" s="12" t="s">
        <v>2604</v>
      </c>
      <c r="N596" s="12" t="s">
        <v>2605</v>
      </c>
      <c r="O596" s="12" t="s">
        <v>195</v>
      </c>
      <c r="P596" s="14" t="s">
        <v>2621</v>
      </c>
      <c r="Q596">
        <v>1</v>
      </c>
      <c r="R596" s="20"/>
    </row>
    <row r="597" spans="1:18" ht="20.100000000000001" customHeight="1">
      <c r="A597" s="7">
        <v>592</v>
      </c>
      <c r="B597" s="8">
        <v>3204402004</v>
      </c>
      <c r="C597" s="9" t="s">
        <v>2310</v>
      </c>
      <c r="D597" s="10" t="s">
        <v>22</v>
      </c>
      <c r="E597" s="11" t="s">
        <v>2311</v>
      </c>
      <c r="F597" s="11" t="s">
        <v>2312</v>
      </c>
      <c r="G597" s="9" t="s">
        <v>2313</v>
      </c>
      <c r="H597" s="9" t="s">
        <v>2314</v>
      </c>
      <c r="I597" s="9" t="s">
        <v>2266</v>
      </c>
      <c r="J597" s="9" t="s">
        <v>100</v>
      </c>
      <c r="K597" s="12" t="s">
        <v>19</v>
      </c>
      <c r="L597" s="13" t="s">
        <v>20</v>
      </c>
      <c r="M597" s="12" t="s">
        <v>2604</v>
      </c>
      <c r="N597" s="12" t="s">
        <v>2605</v>
      </c>
      <c r="O597" s="12" t="s">
        <v>2606</v>
      </c>
      <c r="P597" s="14" t="s">
        <v>2607</v>
      </c>
      <c r="Q597">
        <v>1</v>
      </c>
      <c r="R597" s="20">
        <f>SUM(Q597:Q609)</f>
        <v>13</v>
      </c>
    </row>
    <row r="598" spans="1:18" ht="20.100000000000001" customHeight="1">
      <c r="A598" s="7">
        <v>593</v>
      </c>
      <c r="B598" s="8">
        <v>3204402004</v>
      </c>
      <c r="C598" s="9" t="s">
        <v>2315</v>
      </c>
      <c r="D598" s="10" t="s">
        <v>22</v>
      </c>
      <c r="E598" s="11" t="s">
        <v>2316</v>
      </c>
      <c r="F598" s="11" t="s">
        <v>2317</v>
      </c>
      <c r="G598" s="9" t="s">
        <v>2318</v>
      </c>
      <c r="H598" s="9" t="s">
        <v>2314</v>
      </c>
      <c r="I598" s="9" t="s">
        <v>2266</v>
      </c>
      <c r="J598" s="9" t="s">
        <v>100</v>
      </c>
      <c r="K598" s="12" t="s">
        <v>19</v>
      </c>
      <c r="L598" s="13" t="s">
        <v>20</v>
      </c>
      <c r="M598" s="12" t="s">
        <v>2604</v>
      </c>
      <c r="N598" s="12" t="s">
        <v>2605</v>
      </c>
      <c r="O598" s="12" t="s">
        <v>2606</v>
      </c>
      <c r="P598" s="14" t="s">
        <v>2607</v>
      </c>
      <c r="Q598">
        <v>1</v>
      </c>
      <c r="R598" s="20"/>
    </row>
    <row r="599" spans="1:18" ht="20.100000000000001" customHeight="1">
      <c r="A599" s="7">
        <v>594</v>
      </c>
      <c r="B599" s="8">
        <v>3204402004</v>
      </c>
      <c r="C599" s="9" t="s">
        <v>87</v>
      </c>
      <c r="D599" s="10" t="s">
        <v>22</v>
      </c>
      <c r="E599" s="11" t="s">
        <v>2319</v>
      </c>
      <c r="F599" s="11" t="s">
        <v>2320</v>
      </c>
      <c r="G599" s="9" t="s">
        <v>2318</v>
      </c>
      <c r="H599" s="9" t="s">
        <v>2314</v>
      </c>
      <c r="I599" s="9" t="s">
        <v>2266</v>
      </c>
      <c r="J599" s="9" t="s">
        <v>100</v>
      </c>
      <c r="K599" s="12" t="s">
        <v>19</v>
      </c>
      <c r="L599" s="13" t="s">
        <v>20</v>
      </c>
      <c r="M599" s="12" t="s">
        <v>2604</v>
      </c>
      <c r="N599" s="12" t="s">
        <v>2605</v>
      </c>
      <c r="O599" s="12" t="s">
        <v>2606</v>
      </c>
      <c r="P599" s="14" t="s">
        <v>2607</v>
      </c>
      <c r="Q599">
        <v>1</v>
      </c>
      <c r="R599" s="20"/>
    </row>
    <row r="600" spans="1:18" ht="20.100000000000001" customHeight="1">
      <c r="A600" s="7">
        <v>595</v>
      </c>
      <c r="B600" s="8">
        <v>3204402004</v>
      </c>
      <c r="C600" s="9" t="s">
        <v>122</v>
      </c>
      <c r="D600" s="10" t="s">
        <v>22</v>
      </c>
      <c r="E600" s="11" t="s">
        <v>2321</v>
      </c>
      <c r="F600" s="11" t="s">
        <v>2322</v>
      </c>
      <c r="G600" s="9" t="s">
        <v>2323</v>
      </c>
      <c r="H600" s="9" t="s">
        <v>2314</v>
      </c>
      <c r="I600" s="9" t="s">
        <v>2266</v>
      </c>
      <c r="J600" s="9" t="s">
        <v>100</v>
      </c>
      <c r="K600" s="12" t="s">
        <v>19</v>
      </c>
      <c r="L600" s="13" t="s">
        <v>20</v>
      </c>
      <c r="M600" s="12" t="s">
        <v>2604</v>
      </c>
      <c r="N600" s="12" t="s">
        <v>2605</v>
      </c>
      <c r="O600" s="12" t="s">
        <v>2608</v>
      </c>
      <c r="P600" s="14" t="s">
        <v>2607</v>
      </c>
      <c r="Q600">
        <v>1</v>
      </c>
      <c r="R600" s="20"/>
    </row>
    <row r="601" spans="1:18" ht="20.100000000000001" customHeight="1">
      <c r="A601" s="7">
        <v>596</v>
      </c>
      <c r="B601" s="8">
        <v>3204402004</v>
      </c>
      <c r="C601" s="9" t="s">
        <v>2324</v>
      </c>
      <c r="D601" s="10" t="s">
        <v>22</v>
      </c>
      <c r="E601" s="11" t="s">
        <v>2325</v>
      </c>
      <c r="F601" s="11" t="s">
        <v>2326</v>
      </c>
      <c r="G601" s="9" t="s">
        <v>2327</v>
      </c>
      <c r="H601" s="9" t="s">
        <v>2314</v>
      </c>
      <c r="I601" s="9" t="s">
        <v>2266</v>
      </c>
      <c r="J601" s="9" t="s">
        <v>100</v>
      </c>
      <c r="K601" s="12" t="s">
        <v>19</v>
      </c>
      <c r="L601" s="13" t="s">
        <v>20</v>
      </c>
      <c r="M601" s="12" t="s">
        <v>2604</v>
      </c>
      <c r="N601" s="12" t="s">
        <v>2605</v>
      </c>
      <c r="O601" s="12" t="s">
        <v>195</v>
      </c>
      <c r="P601" s="14" t="s">
        <v>2621</v>
      </c>
      <c r="Q601">
        <v>1</v>
      </c>
      <c r="R601" s="20"/>
    </row>
    <row r="602" spans="1:18" ht="20.100000000000001" customHeight="1">
      <c r="A602" s="7">
        <v>597</v>
      </c>
      <c r="B602" s="8">
        <v>3204402004</v>
      </c>
      <c r="C602" s="9" t="s">
        <v>26</v>
      </c>
      <c r="D602" s="10" t="s">
        <v>22</v>
      </c>
      <c r="E602" s="11" t="s">
        <v>2328</v>
      </c>
      <c r="F602" s="11" t="s">
        <v>2329</v>
      </c>
      <c r="G602" s="9" t="s">
        <v>2330</v>
      </c>
      <c r="H602" s="9" t="s">
        <v>2314</v>
      </c>
      <c r="I602" s="9" t="s">
        <v>2266</v>
      </c>
      <c r="J602" s="9" t="s">
        <v>100</v>
      </c>
      <c r="K602" s="12" t="s">
        <v>19</v>
      </c>
      <c r="L602" s="13" t="s">
        <v>20</v>
      </c>
      <c r="M602" s="12" t="s">
        <v>2604</v>
      </c>
      <c r="N602" s="12" t="s">
        <v>2605</v>
      </c>
      <c r="O602" s="12" t="s">
        <v>2611</v>
      </c>
      <c r="P602" s="14" t="s">
        <v>2607</v>
      </c>
      <c r="Q602">
        <v>1</v>
      </c>
      <c r="R602" s="20"/>
    </row>
    <row r="603" spans="1:18" ht="20.100000000000001" customHeight="1">
      <c r="A603" s="7">
        <v>598</v>
      </c>
      <c r="B603" s="8">
        <v>3204402004</v>
      </c>
      <c r="C603" s="9" t="s">
        <v>97</v>
      </c>
      <c r="D603" s="10" t="s">
        <v>22</v>
      </c>
      <c r="E603" s="11" t="s">
        <v>2331</v>
      </c>
      <c r="F603" s="11" t="s">
        <v>2332</v>
      </c>
      <c r="G603" s="9" t="s">
        <v>2333</v>
      </c>
      <c r="H603" s="9" t="s">
        <v>2314</v>
      </c>
      <c r="I603" s="9" t="s">
        <v>2266</v>
      </c>
      <c r="J603" s="9" t="s">
        <v>100</v>
      </c>
      <c r="K603" s="12" t="s">
        <v>19</v>
      </c>
      <c r="L603" s="13" t="s">
        <v>20</v>
      </c>
      <c r="M603" s="12" t="s">
        <v>2604</v>
      </c>
      <c r="N603" s="12" t="s">
        <v>2605</v>
      </c>
      <c r="O603" s="12" t="s">
        <v>2616</v>
      </c>
      <c r="P603" s="14" t="s">
        <v>2607</v>
      </c>
      <c r="Q603">
        <v>1</v>
      </c>
      <c r="R603" s="20"/>
    </row>
    <row r="604" spans="1:18" ht="20.100000000000001" customHeight="1">
      <c r="A604" s="7">
        <v>599</v>
      </c>
      <c r="B604" s="8">
        <v>3204402004</v>
      </c>
      <c r="C604" s="9" t="s">
        <v>2334</v>
      </c>
      <c r="D604" s="10" t="s">
        <v>18</v>
      </c>
      <c r="E604" s="11" t="s">
        <v>2335</v>
      </c>
      <c r="F604" s="11" t="s">
        <v>2336</v>
      </c>
      <c r="G604" s="9" t="s">
        <v>2337</v>
      </c>
      <c r="H604" s="9" t="s">
        <v>2314</v>
      </c>
      <c r="I604" s="9" t="s">
        <v>2266</v>
      </c>
      <c r="J604" s="9" t="s">
        <v>100</v>
      </c>
      <c r="K604" s="12" t="s">
        <v>19</v>
      </c>
      <c r="L604" s="13" t="s">
        <v>20</v>
      </c>
      <c r="M604" s="12" t="s">
        <v>2604</v>
      </c>
      <c r="N604" s="12" t="s">
        <v>2605</v>
      </c>
      <c r="O604" s="12" t="s">
        <v>2606</v>
      </c>
      <c r="P604" s="14" t="s">
        <v>2607</v>
      </c>
      <c r="Q604">
        <v>1</v>
      </c>
      <c r="R604" s="20"/>
    </row>
    <row r="605" spans="1:18" ht="20.100000000000001" customHeight="1">
      <c r="A605" s="7">
        <v>600</v>
      </c>
      <c r="B605" s="8">
        <v>3204402004</v>
      </c>
      <c r="C605" s="9" t="s">
        <v>2338</v>
      </c>
      <c r="D605" s="10" t="s">
        <v>22</v>
      </c>
      <c r="E605" s="11" t="s">
        <v>2339</v>
      </c>
      <c r="F605" s="11" t="s">
        <v>2340</v>
      </c>
      <c r="G605" s="9" t="s">
        <v>2341</v>
      </c>
      <c r="H605" s="9" t="s">
        <v>2314</v>
      </c>
      <c r="I605" s="9" t="s">
        <v>2266</v>
      </c>
      <c r="J605" s="9" t="s">
        <v>100</v>
      </c>
      <c r="K605" s="12" t="s">
        <v>19</v>
      </c>
      <c r="L605" s="13" t="s">
        <v>20</v>
      </c>
      <c r="M605" s="12" t="s">
        <v>2604</v>
      </c>
      <c r="N605" s="12" t="s">
        <v>2605</v>
      </c>
      <c r="O605" s="12" t="s">
        <v>2608</v>
      </c>
      <c r="P605" s="14" t="s">
        <v>2607</v>
      </c>
      <c r="Q605">
        <v>1</v>
      </c>
      <c r="R605" s="20"/>
    </row>
    <row r="606" spans="1:18" ht="20.100000000000001" customHeight="1">
      <c r="A606" s="7">
        <v>601</v>
      </c>
      <c r="B606" s="8">
        <v>3204402004</v>
      </c>
      <c r="C606" s="9" t="s">
        <v>213</v>
      </c>
      <c r="D606" s="10" t="s">
        <v>18</v>
      </c>
      <c r="E606" s="11" t="s">
        <v>2342</v>
      </c>
      <c r="F606" s="11" t="s">
        <v>2343</v>
      </c>
      <c r="G606" s="9" t="s">
        <v>2344</v>
      </c>
      <c r="H606" s="9" t="s">
        <v>2314</v>
      </c>
      <c r="I606" s="9" t="s">
        <v>2266</v>
      </c>
      <c r="J606" s="9" t="s">
        <v>100</v>
      </c>
      <c r="K606" s="12" t="s">
        <v>19</v>
      </c>
      <c r="L606" s="13" t="s">
        <v>20</v>
      </c>
      <c r="M606" s="12" t="s">
        <v>2604</v>
      </c>
      <c r="N606" s="12" t="s">
        <v>2605</v>
      </c>
      <c r="O606" s="12" t="s">
        <v>2608</v>
      </c>
      <c r="P606" s="14" t="s">
        <v>2607</v>
      </c>
      <c r="Q606">
        <v>1</v>
      </c>
      <c r="R606" s="20"/>
    </row>
    <row r="607" spans="1:18" ht="20.100000000000001" customHeight="1">
      <c r="A607" s="7">
        <v>602</v>
      </c>
      <c r="B607" s="8">
        <v>3204402004</v>
      </c>
      <c r="C607" s="9" t="s">
        <v>2345</v>
      </c>
      <c r="D607" s="10" t="s">
        <v>22</v>
      </c>
      <c r="E607" s="11" t="s">
        <v>2346</v>
      </c>
      <c r="F607" s="11" t="s">
        <v>2347</v>
      </c>
      <c r="G607" s="9" t="s">
        <v>2348</v>
      </c>
      <c r="H607" s="9" t="s">
        <v>2314</v>
      </c>
      <c r="I607" s="9" t="s">
        <v>2266</v>
      </c>
      <c r="J607" s="9" t="s">
        <v>100</v>
      </c>
      <c r="K607" s="12" t="s">
        <v>19</v>
      </c>
      <c r="L607" s="13" t="s">
        <v>20</v>
      </c>
      <c r="M607" s="12" t="s">
        <v>2604</v>
      </c>
      <c r="N607" s="12" t="s">
        <v>2605</v>
      </c>
      <c r="O607" s="12" t="s">
        <v>2617</v>
      </c>
      <c r="P607" s="14" t="s">
        <v>2610</v>
      </c>
      <c r="Q607">
        <v>1</v>
      </c>
      <c r="R607" s="20"/>
    </row>
    <row r="608" spans="1:18" ht="20.100000000000001" customHeight="1">
      <c r="A608" s="7">
        <v>603</v>
      </c>
      <c r="B608" s="8">
        <v>3204402004</v>
      </c>
      <c r="C608" s="9" t="s">
        <v>72</v>
      </c>
      <c r="D608" s="10" t="s">
        <v>18</v>
      </c>
      <c r="E608" s="11" t="s">
        <v>2349</v>
      </c>
      <c r="F608" s="11" t="s">
        <v>2350</v>
      </c>
      <c r="G608" s="9" t="s">
        <v>2351</v>
      </c>
      <c r="H608" s="9" t="s">
        <v>2314</v>
      </c>
      <c r="I608" s="9" t="s">
        <v>2266</v>
      </c>
      <c r="J608" s="9" t="s">
        <v>100</v>
      </c>
      <c r="K608" s="12" t="s">
        <v>19</v>
      </c>
      <c r="L608" s="13" t="s">
        <v>20</v>
      </c>
      <c r="M608" s="12" t="s">
        <v>2604</v>
      </c>
      <c r="N608" s="12" t="s">
        <v>2605</v>
      </c>
      <c r="O608" s="12" t="s">
        <v>2627</v>
      </c>
      <c r="P608" s="14" t="s">
        <v>2610</v>
      </c>
      <c r="Q608">
        <v>1</v>
      </c>
      <c r="R608" s="20"/>
    </row>
    <row r="609" spans="1:18" ht="20.100000000000001" customHeight="1">
      <c r="A609" s="7">
        <v>604</v>
      </c>
      <c r="B609" s="8">
        <v>3204402004</v>
      </c>
      <c r="C609" s="9" t="s">
        <v>2352</v>
      </c>
      <c r="D609" s="10" t="s">
        <v>22</v>
      </c>
      <c r="E609" s="11" t="s">
        <v>2353</v>
      </c>
      <c r="F609" s="11" t="s">
        <v>2354</v>
      </c>
      <c r="G609" s="9" t="s">
        <v>2341</v>
      </c>
      <c r="H609" s="9" t="s">
        <v>2314</v>
      </c>
      <c r="I609" s="9" t="s">
        <v>2266</v>
      </c>
      <c r="J609" s="9" t="s">
        <v>100</v>
      </c>
      <c r="K609" s="12" t="s">
        <v>19</v>
      </c>
      <c r="L609" s="13" t="s">
        <v>20</v>
      </c>
      <c r="M609" s="12" t="s">
        <v>2604</v>
      </c>
      <c r="N609" s="12" t="s">
        <v>2605</v>
      </c>
      <c r="O609" s="12" t="s">
        <v>2627</v>
      </c>
      <c r="P609" s="14" t="s">
        <v>2610</v>
      </c>
      <c r="Q609">
        <v>1</v>
      </c>
      <c r="R609" s="20"/>
    </row>
    <row r="610" spans="1:18" ht="20.100000000000001" customHeight="1">
      <c r="A610" s="7">
        <v>605</v>
      </c>
      <c r="B610" s="8">
        <v>3204342005</v>
      </c>
      <c r="C610" s="9" t="s">
        <v>2355</v>
      </c>
      <c r="D610" s="10" t="s">
        <v>18</v>
      </c>
      <c r="E610" s="11" t="s">
        <v>2356</v>
      </c>
      <c r="F610" s="11" t="s">
        <v>2357</v>
      </c>
      <c r="G610" s="9" t="s">
        <v>2358</v>
      </c>
      <c r="H610" s="9" t="s">
        <v>2359</v>
      </c>
      <c r="I610" s="9" t="s">
        <v>223</v>
      </c>
      <c r="J610" s="9" t="s">
        <v>100</v>
      </c>
      <c r="K610" s="12" t="s">
        <v>19</v>
      </c>
      <c r="L610" s="13" t="s">
        <v>20</v>
      </c>
      <c r="M610" s="12" t="s">
        <v>2604</v>
      </c>
      <c r="N610" s="12" t="s">
        <v>2605</v>
      </c>
      <c r="O610" s="12" t="s">
        <v>2627</v>
      </c>
      <c r="P610" s="14" t="s">
        <v>2610</v>
      </c>
      <c r="Q610">
        <v>1</v>
      </c>
      <c r="R610" s="20">
        <f>SUM(Q610:Q624)</f>
        <v>15</v>
      </c>
    </row>
    <row r="611" spans="1:18" ht="20.100000000000001" customHeight="1">
      <c r="A611" s="7">
        <v>606</v>
      </c>
      <c r="B611" s="8">
        <v>3204342005</v>
      </c>
      <c r="C611" s="9" t="s">
        <v>2360</v>
      </c>
      <c r="D611" s="10" t="s">
        <v>22</v>
      </c>
      <c r="E611" s="11" t="s">
        <v>2361</v>
      </c>
      <c r="F611" s="11" t="s">
        <v>2362</v>
      </c>
      <c r="G611" s="9" t="s">
        <v>2358</v>
      </c>
      <c r="H611" s="9" t="s">
        <v>2359</v>
      </c>
      <c r="I611" s="9" t="s">
        <v>223</v>
      </c>
      <c r="J611" s="9" t="s">
        <v>100</v>
      </c>
      <c r="K611" s="12" t="s">
        <v>19</v>
      </c>
      <c r="L611" s="13" t="s">
        <v>20</v>
      </c>
      <c r="M611" s="12" t="s">
        <v>2604</v>
      </c>
      <c r="N611" s="12" t="s">
        <v>2605</v>
      </c>
      <c r="O611" s="12" t="s">
        <v>2614</v>
      </c>
      <c r="P611" s="14" t="s">
        <v>2615</v>
      </c>
      <c r="Q611">
        <v>1</v>
      </c>
      <c r="R611" s="20"/>
    </row>
    <row r="612" spans="1:18" ht="20.100000000000001" customHeight="1">
      <c r="A612" s="7">
        <v>607</v>
      </c>
      <c r="B612" s="8">
        <v>3204342005</v>
      </c>
      <c r="C612" s="9" t="s">
        <v>130</v>
      </c>
      <c r="D612" s="10" t="s">
        <v>18</v>
      </c>
      <c r="E612" s="11" t="s">
        <v>2363</v>
      </c>
      <c r="F612" s="11" t="s">
        <v>2364</v>
      </c>
      <c r="G612" s="9" t="s">
        <v>2365</v>
      </c>
      <c r="H612" s="9" t="s">
        <v>2359</v>
      </c>
      <c r="I612" s="9" t="s">
        <v>223</v>
      </c>
      <c r="J612" s="9" t="s">
        <v>100</v>
      </c>
      <c r="K612" s="12" t="s">
        <v>19</v>
      </c>
      <c r="L612" s="13" t="s">
        <v>20</v>
      </c>
      <c r="M612" s="12" t="s">
        <v>2604</v>
      </c>
      <c r="N612" s="12" t="s">
        <v>2605</v>
      </c>
      <c r="O612" s="12" t="s">
        <v>2616</v>
      </c>
      <c r="P612" s="14" t="s">
        <v>2607</v>
      </c>
      <c r="Q612">
        <v>1</v>
      </c>
      <c r="R612" s="20"/>
    </row>
    <row r="613" spans="1:18" ht="20.100000000000001" customHeight="1">
      <c r="A613" s="7">
        <v>608</v>
      </c>
      <c r="B613" s="8">
        <v>3204342005</v>
      </c>
      <c r="C613" s="9" t="s">
        <v>2366</v>
      </c>
      <c r="D613" s="10" t="s">
        <v>18</v>
      </c>
      <c r="E613" s="11" t="s">
        <v>2367</v>
      </c>
      <c r="F613" s="11" t="s">
        <v>2368</v>
      </c>
      <c r="G613" s="9" t="s">
        <v>2369</v>
      </c>
      <c r="H613" s="9" t="s">
        <v>2359</v>
      </c>
      <c r="I613" s="9" t="s">
        <v>223</v>
      </c>
      <c r="J613" s="9" t="s">
        <v>100</v>
      </c>
      <c r="K613" s="12" t="s">
        <v>19</v>
      </c>
      <c r="L613" s="13" t="s">
        <v>20</v>
      </c>
      <c r="M613" s="12" t="s">
        <v>2604</v>
      </c>
      <c r="N613" s="12" t="s">
        <v>2605</v>
      </c>
      <c r="O613" s="12" t="s">
        <v>2616</v>
      </c>
      <c r="P613" s="14" t="s">
        <v>2607</v>
      </c>
      <c r="Q613">
        <v>1</v>
      </c>
      <c r="R613" s="20"/>
    </row>
    <row r="614" spans="1:18" ht="20.100000000000001" customHeight="1">
      <c r="A614" s="7">
        <v>609</v>
      </c>
      <c r="B614" s="8">
        <v>3204342005</v>
      </c>
      <c r="C614" s="9" t="s">
        <v>2370</v>
      </c>
      <c r="D614" s="10" t="s">
        <v>22</v>
      </c>
      <c r="E614" s="11" t="s">
        <v>2371</v>
      </c>
      <c r="F614" s="11" t="s">
        <v>2372</v>
      </c>
      <c r="G614" s="9" t="s">
        <v>2373</v>
      </c>
      <c r="H614" s="9" t="s">
        <v>2359</v>
      </c>
      <c r="I614" s="9" t="s">
        <v>223</v>
      </c>
      <c r="J614" s="9" t="s">
        <v>100</v>
      </c>
      <c r="K614" s="12" t="s">
        <v>19</v>
      </c>
      <c r="L614" s="13" t="s">
        <v>20</v>
      </c>
      <c r="M614" s="12" t="s">
        <v>2604</v>
      </c>
      <c r="N614" s="12" t="s">
        <v>2605</v>
      </c>
      <c r="O614" s="12" t="s">
        <v>2616</v>
      </c>
      <c r="P614" s="14" t="s">
        <v>2607</v>
      </c>
      <c r="Q614">
        <v>1</v>
      </c>
      <c r="R614" s="20"/>
    </row>
    <row r="615" spans="1:18" ht="20.100000000000001" customHeight="1">
      <c r="A615" s="7">
        <v>610</v>
      </c>
      <c r="B615" s="8">
        <v>3204342005</v>
      </c>
      <c r="C615" s="9" t="s">
        <v>2374</v>
      </c>
      <c r="D615" s="10" t="s">
        <v>22</v>
      </c>
      <c r="E615" s="11" t="s">
        <v>2375</v>
      </c>
      <c r="F615" s="11" t="s">
        <v>2376</v>
      </c>
      <c r="G615" s="9" t="s">
        <v>2377</v>
      </c>
      <c r="H615" s="9" t="s">
        <v>2359</v>
      </c>
      <c r="I615" s="9" t="s">
        <v>223</v>
      </c>
      <c r="J615" s="9" t="s">
        <v>100</v>
      </c>
      <c r="K615" s="12" t="s">
        <v>19</v>
      </c>
      <c r="L615" s="13" t="s">
        <v>20</v>
      </c>
      <c r="M615" s="12" t="s">
        <v>2604</v>
      </c>
      <c r="N615" s="12" t="s">
        <v>2605</v>
      </c>
      <c r="O615" s="12" t="s">
        <v>2627</v>
      </c>
      <c r="P615" s="14" t="s">
        <v>2610</v>
      </c>
      <c r="Q615">
        <v>1</v>
      </c>
      <c r="R615" s="20"/>
    </row>
    <row r="616" spans="1:18" ht="20.100000000000001" customHeight="1">
      <c r="A616" s="7">
        <v>611</v>
      </c>
      <c r="B616" s="8">
        <v>3204342005</v>
      </c>
      <c r="C616" s="9" t="s">
        <v>2378</v>
      </c>
      <c r="D616" s="10" t="s">
        <v>22</v>
      </c>
      <c r="E616" s="11" t="s">
        <v>2379</v>
      </c>
      <c r="F616" s="11" t="s">
        <v>2380</v>
      </c>
      <c r="G616" s="9" t="s">
        <v>2381</v>
      </c>
      <c r="H616" s="9" t="s">
        <v>2359</v>
      </c>
      <c r="I616" s="9" t="s">
        <v>223</v>
      </c>
      <c r="J616" s="9" t="s">
        <v>100</v>
      </c>
      <c r="K616" s="12" t="s">
        <v>19</v>
      </c>
      <c r="L616" s="13" t="s">
        <v>20</v>
      </c>
      <c r="M616" s="12" t="s">
        <v>2604</v>
      </c>
      <c r="N616" s="12" t="s">
        <v>2605</v>
      </c>
      <c r="O616" s="12" t="s">
        <v>2634</v>
      </c>
      <c r="P616" s="14" t="s">
        <v>2621</v>
      </c>
      <c r="Q616">
        <v>1</v>
      </c>
      <c r="R616" s="20"/>
    </row>
    <row r="617" spans="1:18" ht="20.100000000000001" customHeight="1">
      <c r="A617" s="7">
        <v>612</v>
      </c>
      <c r="B617" s="8">
        <v>3204342005</v>
      </c>
      <c r="C617" s="9" t="s">
        <v>2382</v>
      </c>
      <c r="D617" s="10" t="s">
        <v>22</v>
      </c>
      <c r="E617" s="11" t="s">
        <v>2383</v>
      </c>
      <c r="F617" s="11" t="s">
        <v>2384</v>
      </c>
      <c r="G617" s="9" t="s">
        <v>2385</v>
      </c>
      <c r="H617" s="9" t="s">
        <v>2359</v>
      </c>
      <c r="I617" s="9" t="s">
        <v>223</v>
      </c>
      <c r="J617" s="9" t="s">
        <v>100</v>
      </c>
      <c r="K617" s="12" t="s">
        <v>19</v>
      </c>
      <c r="L617" s="13" t="s">
        <v>20</v>
      </c>
      <c r="M617" s="12" t="s">
        <v>2604</v>
      </c>
      <c r="N617" s="12" t="s">
        <v>2605</v>
      </c>
      <c r="O617" s="12" t="s">
        <v>2606</v>
      </c>
      <c r="P617" s="14" t="s">
        <v>2607</v>
      </c>
      <c r="Q617">
        <v>1</v>
      </c>
      <c r="R617" s="20"/>
    </row>
    <row r="618" spans="1:18" ht="20.100000000000001" customHeight="1">
      <c r="A618" s="7">
        <v>613</v>
      </c>
      <c r="B618" s="8">
        <v>3204342005</v>
      </c>
      <c r="C618" s="9" t="s">
        <v>2386</v>
      </c>
      <c r="D618" s="10" t="s">
        <v>18</v>
      </c>
      <c r="E618" s="11" t="s">
        <v>2387</v>
      </c>
      <c r="F618" s="11" t="s">
        <v>2388</v>
      </c>
      <c r="G618" s="9" t="s">
        <v>2389</v>
      </c>
      <c r="H618" s="9" t="s">
        <v>2359</v>
      </c>
      <c r="I618" s="9" t="s">
        <v>223</v>
      </c>
      <c r="J618" s="9" t="s">
        <v>100</v>
      </c>
      <c r="K618" s="12" t="s">
        <v>19</v>
      </c>
      <c r="L618" s="13" t="s">
        <v>20</v>
      </c>
      <c r="M618" s="12" t="s">
        <v>2604</v>
      </c>
      <c r="N618" s="12" t="s">
        <v>2605</v>
      </c>
      <c r="O618" s="12" t="s">
        <v>2608</v>
      </c>
      <c r="P618" s="14" t="s">
        <v>2607</v>
      </c>
      <c r="Q618">
        <v>1</v>
      </c>
      <c r="R618" s="20"/>
    </row>
    <row r="619" spans="1:18" ht="20.100000000000001" customHeight="1">
      <c r="A619" s="7">
        <v>614</v>
      </c>
      <c r="B619" s="8">
        <v>3204342005</v>
      </c>
      <c r="C619" s="9" t="s">
        <v>2390</v>
      </c>
      <c r="D619" s="10" t="s">
        <v>22</v>
      </c>
      <c r="E619" s="11" t="s">
        <v>2391</v>
      </c>
      <c r="F619" s="11" t="s">
        <v>2392</v>
      </c>
      <c r="G619" s="9" t="s">
        <v>2393</v>
      </c>
      <c r="H619" s="9" t="s">
        <v>2359</v>
      </c>
      <c r="I619" s="9" t="s">
        <v>223</v>
      </c>
      <c r="J619" s="9" t="s">
        <v>100</v>
      </c>
      <c r="K619" s="12" t="s">
        <v>19</v>
      </c>
      <c r="L619" s="13" t="s">
        <v>20</v>
      </c>
      <c r="M619" s="12" t="s">
        <v>2604</v>
      </c>
      <c r="N619" s="12" t="s">
        <v>2605</v>
      </c>
      <c r="O619" s="12" t="s">
        <v>2616</v>
      </c>
      <c r="P619" s="14" t="s">
        <v>2607</v>
      </c>
      <c r="Q619">
        <v>1</v>
      </c>
      <c r="R619" s="20"/>
    </row>
    <row r="620" spans="1:18" ht="20.100000000000001" customHeight="1">
      <c r="A620" s="7">
        <v>615</v>
      </c>
      <c r="B620" s="8">
        <v>3204342005</v>
      </c>
      <c r="C620" s="9" t="s">
        <v>2394</v>
      </c>
      <c r="D620" s="10" t="s">
        <v>22</v>
      </c>
      <c r="E620" s="11" t="s">
        <v>2395</v>
      </c>
      <c r="F620" s="11" t="s">
        <v>2396</v>
      </c>
      <c r="G620" s="9" t="s">
        <v>2397</v>
      </c>
      <c r="H620" s="9" t="s">
        <v>2359</v>
      </c>
      <c r="I620" s="9" t="s">
        <v>223</v>
      </c>
      <c r="J620" s="9" t="s">
        <v>100</v>
      </c>
      <c r="K620" s="12" t="s">
        <v>19</v>
      </c>
      <c r="L620" s="13" t="s">
        <v>20</v>
      </c>
      <c r="M620" s="12" t="s">
        <v>2604</v>
      </c>
      <c r="N620" s="12" t="s">
        <v>2605</v>
      </c>
      <c r="O620" s="12" t="s">
        <v>2616</v>
      </c>
      <c r="P620" s="14" t="s">
        <v>2607</v>
      </c>
      <c r="Q620">
        <v>1</v>
      </c>
      <c r="R620" s="20"/>
    </row>
    <row r="621" spans="1:18" ht="20.100000000000001" customHeight="1">
      <c r="A621" s="7">
        <v>616</v>
      </c>
      <c r="B621" s="8">
        <v>3204342005</v>
      </c>
      <c r="C621" s="9" t="s">
        <v>2398</v>
      </c>
      <c r="D621" s="10" t="s">
        <v>22</v>
      </c>
      <c r="E621" s="11" t="s">
        <v>2399</v>
      </c>
      <c r="F621" s="11" t="s">
        <v>2400</v>
      </c>
      <c r="G621" s="9" t="s">
        <v>2401</v>
      </c>
      <c r="H621" s="9" t="s">
        <v>2359</v>
      </c>
      <c r="I621" s="9" t="s">
        <v>223</v>
      </c>
      <c r="J621" s="9" t="s">
        <v>100</v>
      </c>
      <c r="K621" s="12" t="s">
        <v>19</v>
      </c>
      <c r="L621" s="13" t="s">
        <v>20</v>
      </c>
      <c r="M621" s="12" t="s">
        <v>2604</v>
      </c>
      <c r="N621" s="12" t="s">
        <v>2605</v>
      </c>
      <c r="O621" s="12" t="s">
        <v>2627</v>
      </c>
      <c r="P621" s="14" t="s">
        <v>2610</v>
      </c>
      <c r="Q621">
        <v>1</v>
      </c>
      <c r="R621" s="20"/>
    </row>
    <row r="622" spans="1:18" ht="20.100000000000001" customHeight="1">
      <c r="A622" s="7">
        <v>617</v>
      </c>
      <c r="B622" s="8">
        <v>3204342005</v>
      </c>
      <c r="C622" s="9" t="s">
        <v>136</v>
      </c>
      <c r="D622" s="10" t="s">
        <v>22</v>
      </c>
      <c r="E622" s="11" t="s">
        <v>2402</v>
      </c>
      <c r="F622" s="11" t="s">
        <v>2403</v>
      </c>
      <c r="G622" s="9" t="s">
        <v>2404</v>
      </c>
      <c r="H622" s="9" t="s">
        <v>2359</v>
      </c>
      <c r="I622" s="9" t="s">
        <v>223</v>
      </c>
      <c r="J622" s="9" t="s">
        <v>100</v>
      </c>
      <c r="K622" s="12" t="s">
        <v>19</v>
      </c>
      <c r="L622" s="13" t="s">
        <v>20</v>
      </c>
      <c r="M622" s="12" t="s">
        <v>2604</v>
      </c>
      <c r="N622" s="12" t="s">
        <v>2605</v>
      </c>
      <c r="O622" s="12" t="s">
        <v>2606</v>
      </c>
      <c r="P622" s="14" t="s">
        <v>2607</v>
      </c>
      <c r="Q622">
        <v>1</v>
      </c>
      <c r="R622" s="20"/>
    </row>
    <row r="623" spans="1:18" ht="20.100000000000001" customHeight="1">
      <c r="A623" s="7">
        <v>618</v>
      </c>
      <c r="B623" s="8">
        <v>3204342005</v>
      </c>
      <c r="C623" s="9" t="s">
        <v>2405</v>
      </c>
      <c r="D623" s="10" t="s">
        <v>22</v>
      </c>
      <c r="E623" s="11" t="s">
        <v>2406</v>
      </c>
      <c r="F623" s="11" t="s">
        <v>2407</v>
      </c>
      <c r="G623" s="9" t="s">
        <v>2408</v>
      </c>
      <c r="H623" s="9" t="s">
        <v>2359</v>
      </c>
      <c r="I623" s="9" t="s">
        <v>223</v>
      </c>
      <c r="J623" s="9" t="s">
        <v>100</v>
      </c>
      <c r="K623" s="12" t="s">
        <v>19</v>
      </c>
      <c r="L623" s="13" t="s">
        <v>20</v>
      </c>
      <c r="M623" s="12" t="s">
        <v>2604</v>
      </c>
      <c r="N623" s="12" t="s">
        <v>2605</v>
      </c>
      <c r="O623" s="12" t="s">
        <v>2611</v>
      </c>
      <c r="P623" s="14" t="s">
        <v>2607</v>
      </c>
      <c r="Q623">
        <v>1</v>
      </c>
      <c r="R623" s="20"/>
    </row>
    <row r="624" spans="1:18" ht="20.100000000000001" customHeight="1">
      <c r="A624" s="7">
        <v>619</v>
      </c>
      <c r="B624" s="8">
        <v>3204342005</v>
      </c>
      <c r="C624" s="9" t="s">
        <v>104</v>
      </c>
      <c r="D624" s="10" t="s">
        <v>22</v>
      </c>
      <c r="E624" s="11" t="s">
        <v>2409</v>
      </c>
      <c r="F624" s="11" t="s">
        <v>2410</v>
      </c>
      <c r="G624" s="9" t="s">
        <v>2411</v>
      </c>
      <c r="H624" s="9" t="s">
        <v>2359</v>
      </c>
      <c r="I624" s="9" t="s">
        <v>223</v>
      </c>
      <c r="J624" s="9" t="s">
        <v>100</v>
      </c>
      <c r="K624" s="12" t="s">
        <v>19</v>
      </c>
      <c r="L624" s="13" t="s">
        <v>20</v>
      </c>
      <c r="M624" s="12" t="s">
        <v>2604</v>
      </c>
      <c r="N624" s="12" t="s">
        <v>2605</v>
      </c>
      <c r="O624" s="12" t="s">
        <v>2611</v>
      </c>
      <c r="P624" s="14" t="s">
        <v>2607</v>
      </c>
      <c r="Q624">
        <v>1</v>
      </c>
      <c r="R624" s="20"/>
    </row>
    <row r="625" spans="1:18" ht="20.100000000000001" customHeight="1">
      <c r="A625" s="7">
        <v>620</v>
      </c>
      <c r="B625" s="8">
        <v>3204342003</v>
      </c>
      <c r="C625" s="9" t="s">
        <v>2412</v>
      </c>
      <c r="D625" s="10" t="s">
        <v>22</v>
      </c>
      <c r="E625" s="11" t="s">
        <v>2413</v>
      </c>
      <c r="F625" s="11" t="s">
        <v>2414</v>
      </c>
      <c r="G625" s="9" t="s">
        <v>2415</v>
      </c>
      <c r="H625" s="9" t="s">
        <v>37</v>
      </c>
      <c r="I625" s="9" t="s">
        <v>223</v>
      </c>
      <c r="J625" s="9" t="s">
        <v>100</v>
      </c>
      <c r="K625" s="12" t="s">
        <v>19</v>
      </c>
      <c r="L625" s="13" t="s">
        <v>20</v>
      </c>
      <c r="M625" s="12" t="s">
        <v>2604</v>
      </c>
      <c r="N625" s="12" t="s">
        <v>2605</v>
      </c>
      <c r="O625" s="12" t="s">
        <v>2611</v>
      </c>
      <c r="P625" s="14" t="s">
        <v>2607</v>
      </c>
      <c r="Q625">
        <v>1</v>
      </c>
      <c r="R625" s="20">
        <f>SUM(Q625:Q639)</f>
        <v>15</v>
      </c>
    </row>
    <row r="626" spans="1:18" ht="20.100000000000001" customHeight="1">
      <c r="A626" s="7">
        <v>621</v>
      </c>
      <c r="B626" s="8">
        <v>3204342003</v>
      </c>
      <c r="C626" s="9" t="s">
        <v>2416</v>
      </c>
      <c r="D626" s="10" t="s">
        <v>22</v>
      </c>
      <c r="E626" s="11" t="s">
        <v>2417</v>
      </c>
      <c r="F626" s="11" t="s">
        <v>2418</v>
      </c>
      <c r="G626" s="9" t="s">
        <v>2419</v>
      </c>
      <c r="H626" s="9" t="s">
        <v>37</v>
      </c>
      <c r="I626" s="9" t="s">
        <v>223</v>
      </c>
      <c r="J626" s="9" t="s">
        <v>100</v>
      </c>
      <c r="K626" s="12" t="s">
        <v>19</v>
      </c>
      <c r="L626" s="13" t="s">
        <v>20</v>
      </c>
      <c r="M626" s="12" t="s">
        <v>2604</v>
      </c>
      <c r="N626" s="12" t="s">
        <v>2605</v>
      </c>
      <c r="O626" s="12" t="s">
        <v>2611</v>
      </c>
      <c r="P626" s="14" t="s">
        <v>2607</v>
      </c>
      <c r="Q626">
        <v>1</v>
      </c>
      <c r="R626" s="20"/>
    </row>
    <row r="627" spans="1:18" ht="20.100000000000001" customHeight="1">
      <c r="A627" s="7">
        <v>622</v>
      </c>
      <c r="B627" s="8">
        <v>3204342003</v>
      </c>
      <c r="C627" s="9" t="s">
        <v>2420</v>
      </c>
      <c r="D627" s="10" t="s">
        <v>22</v>
      </c>
      <c r="E627" s="11" t="s">
        <v>2421</v>
      </c>
      <c r="F627" s="11" t="s">
        <v>2422</v>
      </c>
      <c r="G627" s="9" t="s">
        <v>2423</v>
      </c>
      <c r="H627" s="9" t="s">
        <v>37</v>
      </c>
      <c r="I627" s="9" t="s">
        <v>223</v>
      </c>
      <c r="J627" s="9" t="s">
        <v>100</v>
      </c>
      <c r="K627" s="12" t="s">
        <v>19</v>
      </c>
      <c r="L627" s="13" t="s">
        <v>20</v>
      </c>
      <c r="M627" s="12" t="s">
        <v>2604</v>
      </c>
      <c r="N627" s="12" t="s">
        <v>2605</v>
      </c>
      <c r="O627" s="12" t="s">
        <v>2611</v>
      </c>
      <c r="P627" s="14" t="s">
        <v>2607</v>
      </c>
      <c r="Q627">
        <v>1</v>
      </c>
      <c r="R627" s="20"/>
    </row>
    <row r="628" spans="1:18" ht="20.100000000000001" customHeight="1">
      <c r="A628" s="7">
        <v>623</v>
      </c>
      <c r="B628" s="8">
        <v>3204342003</v>
      </c>
      <c r="C628" s="9" t="s">
        <v>2424</v>
      </c>
      <c r="D628" s="10" t="s">
        <v>18</v>
      </c>
      <c r="E628" s="11" t="s">
        <v>2425</v>
      </c>
      <c r="F628" s="11" t="s">
        <v>2426</v>
      </c>
      <c r="G628" s="9" t="s">
        <v>2427</v>
      </c>
      <c r="H628" s="9" t="s">
        <v>37</v>
      </c>
      <c r="I628" s="9" t="s">
        <v>223</v>
      </c>
      <c r="J628" s="9" t="s">
        <v>100</v>
      </c>
      <c r="K628" s="12" t="s">
        <v>19</v>
      </c>
      <c r="L628" s="13" t="s">
        <v>20</v>
      </c>
      <c r="M628" s="12" t="s">
        <v>2604</v>
      </c>
      <c r="N628" s="12" t="s">
        <v>2605</v>
      </c>
      <c r="O628" s="12" t="s">
        <v>2611</v>
      </c>
      <c r="P628" s="14" t="s">
        <v>2607</v>
      </c>
      <c r="Q628">
        <v>1</v>
      </c>
      <c r="R628" s="20"/>
    </row>
    <row r="629" spans="1:18" ht="20.100000000000001" customHeight="1">
      <c r="A629" s="7">
        <v>624</v>
      </c>
      <c r="B629" s="8">
        <v>3204342003</v>
      </c>
      <c r="C629" s="9" t="s">
        <v>2428</v>
      </c>
      <c r="D629" s="10" t="s">
        <v>22</v>
      </c>
      <c r="E629" s="11" t="s">
        <v>2429</v>
      </c>
      <c r="F629" s="11" t="s">
        <v>2430</v>
      </c>
      <c r="G629" s="9" t="s">
        <v>2431</v>
      </c>
      <c r="H629" s="9" t="s">
        <v>37</v>
      </c>
      <c r="I629" s="9" t="s">
        <v>223</v>
      </c>
      <c r="J629" s="9" t="s">
        <v>100</v>
      </c>
      <c r="K629" s="12" t="s">
        <v>19</v>
      </c>
      <c r="L629" s="13" t="s">
        <v>20</v>
      </c>
      <c r="M629" s="12" t="s">
        <v>2604</v>
      </c>
      <c r="N629" s="12" t="s">
        <v>2605</v>
      </c>
      <c r="O629" s="12" t="s">
        <v>2611</v>
      </c>
      <c r="P629" s="14" t="s">
        <v>2607</v>
      </c>
      <c r="Q629">
        <v>1</v>
      </c>
      <c r="R629" s="20"/>
    </row>
    <row r="630" spans="1:18" ht="20.100000000000001" customHeight="1">
      <c r="A630" s="7">
        <v>625</v>
      </c>
      <c r="B630" s="8">
        <v>3204342003</v>
      </c>
      <c r="C630" s="9" t="s">
        <v>2432</v>
      </c>
      <c r="D630" s="10" t="s">
        <v>18</v>
      </c>
      <c r="E630" s="11" t="s">
        <v>2433</v>
      </c>
      <c r="F630" s="11" t="s">
        <v>2434</v>
      </c>
      <c r="G630" s="9" t="s">
        <v>2435</v>
      </c>
      <c r="H630" s="9" t="s">
        <v>37</v>
      </c>
      <c r="I630" s="9" t="s">
        <v>223</v>
      </c>
      <c r="J630" s="9" t="s">
        <v>100</v>
      </c>
      <c r="K630" s="12" t="s">
        <v>19</v>
      </c>
      <c r="L630" s="13" t="s">
        <v>20</v>
      </c>
      <c r="M630" s="12" t="s">
        <v>2604</v>
      </c>
      <c r="N630" s="12" t="s">
        <v>2605</v>
      </c>
      <c r="O630" s="12" t="s">
        <v>2611</v>
      </c>
      <c r="P630" s="14" t="s">
        <v>2607</v>
      </c>
      <c r="Q630">
        <v>1</v>
      </c>
      <c r="R630" s="20"/>
    </row>
    <row r="631" spans="1:18" ht="20.100000000000001" customHeight="1">
      <c r="A631" s="7">
        <v>626</v>
      </c>
      <c r="B631" s="8">
        <v>3204342003</v>
      </c>
      <c r="C631" s="9" t="s">
        <v>2436</v>
      </c>
      <c r="D631" s="10" t="s">
        <v>22</v>
      </c>
      <c r="E631" s="11" t="s">
        <v>2437</v>
      </c>
      <c r="F631" s="11" t="s">
        <v>2438</v>
      </c>
      <c r="G631" s="9" t="s">
        <v>2439</v>
      </c>
      <c r="H631" s="9" t="s">
        <v>37</v>
      </c>
      <c r="I631" s="9" t="s">
        <v>223</v>
      </c>
      <c r="J631" s="9" t="s">
        <v>100</v>
      </c>
      <c r="K631" s="12" t="s">
        <v>19</v>
      </c>
      <c r="L631" s="13" t="s">
        <v>20</v>
      </c>
      <c r="M631" s="12" t="s">
        <v>2604</v>
      </c>
      <c r="N631" s="12" t="s">
        <v>2605</v>
      </c>
      <c r="O631" s="12" t="s">
        <v>2609</v>
      </c>
      <c r="P631" s="14" t="s">
        <v>2610</v>
      </c>
      <c r="Q631">
        <v>1</v>
      </c>
      <c r="R631" s="20"/>
    </row>
    <row r="632" spans="1:18" ht="20.100000000000001" customHeight="1">
      <c r="A632" s="7">
        <v>627</v>
      </c>
      <c r="B632" s="8">
        <v>3204342003</v>
      </c>
      <c r="C632" s="9" t="s">
        <v>2440</v>
      </c>
      <c r="D632" s="10" t="s">
        <v>22</v>
      </c>
      <c r="E632" s="11" t="s">
        <v>2441</v>
      </c>
      <c r="F632" s="11" t="s">
        <v>2442</v>
      </c>
      <c r="G632" s="9" t="s">
        <v>2443</v>
      </c>
      <c r="H632" s="9" t="s">
        <v>37</v>
      </c>
      <c r="I632" s="9" t="s">
        <v>223</v>
      </c>
      <c r="J632" s="9" t="s">
        <v>100</v>
      </c>
      <c r="K632" s="12" t="s">
        <v>19</v>
      </c>
      <c r="L632" s="13" t="s">
        <v>20</v>
      </c>
      <c r="M632" s="12" t="s">
        <v>2604</v>
      </c>
      <c r="N632" s="12" t="s">
        <v>2605</v>
      </c>
      <c r="O632" s="12" t="s">
        <v>195</v>
      </c>
      <c r="P632" s="14" t="s">
        <v>2621</v>
      </c>
      <c r="Q632">
        <v>1</v>
      </c>
      <c r="R632" s="20"/>
    </row>
    <row r="633" spans="1:18" ht="20.100000000000001" customHeight="1">
      <c r="A633" s="7">
        <v>628</v>
      </c>
      <c r="B633" s="8">
        <v>3204342003</v>
      </c>
      <c r="C633" s="9" t="s">
        <v>2444</v>
      </c>
      <c r="D633" s="10" t="s">
        <v>18</v>
      </c>
      <c r="E633" s="11" t="s">
        <v>2445</v>
      </c>
      <c r="F633" s="11" t="s">
        <v>2446</v>
      </c>
      <c r="G633" s="9" t="s">
        <v>2447</v>
      </c>
      <c r="H633" s="9" t="s">
        <v>37</v>
      </c>
      <c r="I633" s="9" t="s">
        <v>223</v>
      </c>
      <c r="J633" s="9" t="s">
        <v>100</v>
      </c>
      <c r="K633" s="12" t="s">
        <v>19</v>
      </c>
      <c r="L633" s="13" t="s">
        <v>20</v>
      </c>
      <c r="M633" s="12" t="s">
        <v>2604</v>
      </c>
      <c r="N633" s="12" t="s">
        <v>2605</v>
      </c>
      <c r="O633" s="12" t="s">
        <v>2611</v>
      </c>
      <c r="P633" s="14" t="s">
        <v>2607</v>
      </c>
      <c r="Q633">
        <v>1</v>
      </c>
      <c r="R633" s="20"/>
    </row>
    <row r="634" spans="1:18" ht="20.100000000000001" customHeight="1">
      <c r="A634" s="7">
        <v>629</v>
      </c>
      <c r="B634" s="8">
        <v>3204342003</v>
      </c>
      <c r="C634" s="9" t="s">
        <v>2448</v>
      </c>
      <c r="D634" s="10" t="s">
        <v>22</v>
      </c>
      <c r="E634" s="11" t="s">
        <v>2449</v>
      </c>
      <c r="F634" s="11" t="s">
        <v>2450</v>
      </c>
      <c r="G634" s="9" t="s">
        <v>2415</v>
      </c>
      <c r="H634" s="9" t="s">
        <v>37</v>
      </c>
      <c r="I634" s="9" t="s">
        <v>223</v>
      </c>
      <c r="J634" s="9" t="s">
        <v>100</v>
      </c>
      <c r="K634" s="12" t="s">
        <v>19</v>
      </c>
      <c r="L634" s="13" t="s">
        <v>20</v>
      </c>
      <c r="M634" s="12" t="s">
        <v>2604</v>
      </c>
      <c r="N634" s="12" t="s">
        <v>2605</v>
      </c>
      <c r="O634" s="12" t="s">
        <v>2606</v>
      </c>
      <c r="P634" s="14" t="s">
        <v>2607</v>
      </c>
      <c r="Q634">
        <v>1</v>
      </c>
      <c r="R634" s="20"/>
    </row>
    <row r="635" spans="1:18" ht="20.100000000000001" customHeight="1">
      <c r="A635" s="7">
        <v>630</v>
      </c>
      <c r="B635" s="8">
        <v>3204342003</v>
      </c>
      <c r="C635" s="9" t="s">
        <v>2451</v>
      </c>
      <c r="D635" s="10" t="s">
        <v>22</v>
      </c>
      <c r="E635" s="11" t="s">
        <v>2452</v>
      </c>
      <c r="F635" s="11" t="s">
        <v>2453</v>
      </c>
      <c r="G635" s="9" t="s">
        <v>2423</v>
      </c>
      <c r="H635" s="9" t="s">
        <v>37</v>
      </c>
      <c r="I635" s="9" t="s">
        <v>223</v>
      </c>
      <c r="J635" s="9" t="s">
        <v>100</v>
      </c>
      <c r="K635" s="12" t="s">
        <v>19</v>
      </c>
      <c r="L635" s="13" t="s">
        <v>20</v>
      </c>
      <c r="M635" s="12" t="s">
        <v>2604</v>
      </c>
      <c r="N635" s="12" t="s">
        <v>2605</v>
      </c>
      <c r="O635" s="12" t="s">
        <v>2606</v>
      </c>
      <c r="P635" s="14" t="s">
        <v>2607</v>
      </c>
      <c r="Q635">
        <v>1</v>
      </c>
      <c r="R635" s="20"/>
    </row>
    <row r="636" spans="1:18" ht="20.100000000000001" customHeight="1">
      <c r="A636" s="7">
        <v>631</v>
      </c>
      <c r="B636" s="8">
        <v>3204342003</v>
      </c>
      <c r="C636" s="9" t="s">
        <v>2454</v>
      </c>
      <c r="D636" s="10" t="s">
        <v>22</v>
      </c>
      <c r="E636" s="11" t="s">
        <v>2455</v>
      </c>
      <c r="F636" s="11" t="s">
        <v>2456</v>
      </c>
      <c r="G636" s="9" t="s">
        <v>2457</v>
      </c>
      <c r="H636" s="9" t="s">
        <v>37</v>
      </c>
      <c r="I636" s="9" t="s">
        <v>223</v>
      </c>
      <c r="J636" s="9" t="s">
        <v>100</v>
      </c>
      <c r="K636" s="12" t="s">
        <v>19</v>
      </c>
      <c r="L636" s="13" t="s">
        <v>20</v>
      </c>
      <c r="M636" s="12" t="s">
        <v>2604</v>
      </c>
      <c r="N636" s="12" t="s">
        <v>2605</v>
      </c>
      <c r="O636" s="12" t="s">
        <v>2617</v>
      </c>
      <c r="P636" s="14" t="s">
        <v>2610</v>
      </c>
      <c r="Q636">
        <v>1</v>
      </c>
      <c r="R636" s="20"/>
    </row>
    <row r="637" spans="1:18" ht="20.100000000000001" customHeight="1">
      <c r="A637" s="7">
        <v>632</v>
      </c>
      <c r="B637" s="8">
        <v>3204342003</v>
      </c>
      <c r="C637" s="9" t="s">
        <v>2458</v>
      </c>
      <c r="D637" s="10" t="s">
        <v>22</v>
      </c>
      <c r="E637" s="11" t="s">
        <v>2459</v>
      </c>
      <c r="F637" s="11" t="s">
        <v>2460</v>
      </c>
      <c r="G637" s="9" t="s">
        <v>2457</v>
      </c>
      <c r="H637" s="9" t="s">
        <v>37</v>
      </c>
      <c r="I637" s="9" t="s">
        <v>223</v>
      </c>
      <c r="J637" s="9" t="s">
        <v>100</v>
      </c>
      <c r="K637" s="12" t="s">
        <v>19</v>
      </c>
      <c r="L637" s="13" t="s">
        <v>20</v>
      </c>
      <c r="M637" s="12" t="s">
        <v>2604</v>
      </c>
      <c r="N637" s="12" t="s">
        <v>2605</v>
      </c>
      <c r="O637" s="12" t="s">
        <v>2617</v>
      </c>
      <c r="P637" s="14" t="s">
        <v>2610</v>
      </c>
      <c r="Q637">
        <v>1</v>
      </c>
      <c r="R637" s="20"/>
    </row>
    <row r="638" spans="1:18" ht="20.100000000000001" customHeight="1">
      <c r="A638" s="7">
        <v>633</v>
      </c>
      <c r="B638" s="8">
        <v>3204342003</v>
      </c>
      <c r="C638" s="9" t="s">
        <v>2461</v>
      </c>
      <c r="D638" s="10" t="s">
        <v>22</v>
      </c>
      <c r="E638" s="11" t="s">
        <v>2462</v>
      </c>
      <c r="F638" s="11" t="s">
        <v>2463</v>
      </c>
      <c r="G638" s="9" t="s">
        <v>2427</v>
      </c>
      <c r="H638" s="9" t="s">
        <v>37</v>
      </c>
      <c r="I638" s="9" t="s">
        <v>223</v>
      </c>
      <c r="J638" s="9" t="s">
        <v>100</v>
      </c>
      <c r="K638" s="12" t="s">
        <v>19</v>
      </c>
      <c r="L638" s="13" t="s">
        <v>20</v>
      </c>
      <c r="M638" s="12" t="s">
        <v>2604</v>
      </c>
      <c r="N638" s="12" t="s">
        <v>2605</v>
      </c>
      <c r="O638" s="12" t="s">
        <v>2606</v>
      </c>
      <c r="P638" s="14" t="s">
        <v>2607</v>
      </c>
      <c r="Q638">
        <v>1</v>
      </c>
      <c r="R638" s="20"/>
    </row>
    <row r="639" spans="1:18" ht="20.100000000000001" customHeight="1">
      <c r="A639" s="7">
        <v>634</v>
      </c>
      <c r="B639" s="8">
        <v>3204342003</v>
      </c>
      <c r="C639" s="9" t="s">
        <v>2464</v>
      </c>
      <c r="D639" s="10" t="s">
        <v>18</v>
      </c>
      <c r="E639" s="11" t="s">
        <v>2465</v>
      </c>
      <c r="F639" s="11" t="s">
        <v>2466</v>
      </c>
      <c r="G639" s="9" t="s">
        <v>2467</v>
      </c>
      <c r="H639" s="9" t="s">
        <v>37</v>
      </c>
      <c r="I639" s="9" t="s">
        <v>223</v>
      </c>
      <c r="J639" s="9" t="s">
        <v>100</v>
      </c>
      <c r="K639" s="12" t="s">
        <v>19</v>
      </c>
      <c r="L639" s="13" t="s">
        <v>20</v>
      </c>
      <c r="M639" s="12" t="s">
        <v>2604</v>
      </c>
      <c r="N639" s="12" t="s">
        <v>2605</v>
      </c>
      <c r="O639" s="12" t="s">
        <v>2606</v>
      </c>
      <c r="P639" s="14" t="s">
        <v>2607</v>
      </c>
      <c r="Q639">
        <v>1</v>
      </c>
      <c r="R639" s="20"/>
    </row>
    <row r="640" spans="1:18" ht="20.100000000000001" customHeight="1">
      <c r="A640" s="7">
        <v>635</v>
      </c>
      <c r="B640" s="8">
        <v>3204342006</v>
      </c>
      <c r="C640" s="9" t="s">
        <v>147</v>
      </c>
      <c r="D640" s="10" t="s">
        <v>18</v>
      </c>
      <c r="E640" s="11" t="s">
        <v>2468</v>
      </c>
      <c r="F640" s="11" t="s">
        <v>2469</v>
      </c>
      <c r="G640" s="9" t="s">
        <v>2470</v>
      </c>
      <c r="H640" s="9" t="s">
        <v>2471</v>
      </c>
      <c r="I640" s="9" t="s">
        <v>223</v>
      </c>
      <c r="J640" s="9" t="s">
        <v>100</v>
      </c>
      <c r="K640" s="12" t="s">
        <v>19</v>
      </c>
      <c r="L640" s="13" t="s">
        <v>20</v>
      </c>
      <c r="M640" s="12" t="s">
        <v>2604</v>
      </c>
      <c r="N640" s="12" t="s">
        <v>2605</v>
      </c>
      <c r="O640" s="12" t="s">
        <v>2611</v>
      </c>
      <c r="P640" s="14" t="s">
        <v>2607</v>
      </c>
      <c r="Q640">
        <v>1</v>
      </c>
      <c r="R640" s="20">
        <f>SUM(Q640:Q659)</f>
        <v>20</v>
      </c>
    </row>
    <row r="641" spans="1:18" ht="20.100000000000001" customHeight="1">
      <c r="A641" s="7">
        <v>636</v>
      </c>
      <c r="B641" s="8">
        <v>3204342006</v>
      </c>
      <c r="C641" s="9" t="s">
        <v>2472</v>
      </c>
      <c r="D641" s="10" t="s">
        <v>18</v>
      </c>
      <c r="E641" s="11" t="s">
        <v>2473</v>
      </c>
      <c r="F641" s="11" t="s">
        <v>2474</v>
      </c>
      <c r="G641" s="9" t="s">
        <v>2475</v>
      </c>
      <c r="H641" s="9" t="s">
        <v>2471</v>
      </c>
      <c r="I641" s="9" t="s">
        <v>223</v>
      </c>
      <c r="J641" s="9" t="s">
        <v>100</v>
      </c>
      <c r="K641" s="12" t="s">
        <v>19</v>
      </c>
      <c r="L641" s="13" t="s">
        <v>20</v>
      </c>
      <c r="M641" s="12" t="s">
        <v>2604</v>
      </c>
      <c r="N641" s="12" t="s">
        <v>2605</v>
      </c>
      <c r="O641" s="12" t="s">
        <v>2611</v>
      </c>
      <c r="P641" s="14" t="s">
        <v>2607</v>
      </c>
      <c r="Q641">
        <v>1</v>
      </c>
      <c r="R641" s="20"/>
    </row>
    <row r="642" spans="1:18" ht="20.100000000000001" customHeight="1">
      <c r="A642" s="7">
        <v>637</v>
      </c>
      <c r="B642" s="8">
        <v>3204342006</v>
      </c>
      <c r="C642" s="9" t="s">
        <v>94</v>
      </c>
      <c r="D642" s="10" t="s">
        <v>18</v>
      </c>
      <c r="E642" s="11" t="s">
        <v>2476</v>
      </c>
      <c r="F642" s="11" t="s">
        <v>2477</v>
      </c>
      <c r="G642" s="9" t="s">
        <v>2478</v>
      </c>
      <c r="H642" s="9" t="s">
        <v>2471</v>
      </c>
      <c r="I642" s="9" t="s">
        <v>223</v>
      </c>
      <c r="J642" s="9" t="s">
        <v>100</v>
      </c>
      <c r="K642" s="12" t="s">
        <v>19</v>
      </c>
      <c r="L642" s="13" t="s">
        <v>20</v>
      </c>
      <c r="M642" s="12" t="s">
        <v>2604</v>
      </c>
      <c r="N642" s="12" t="s">
        <v>2605</v>
      </c>
      <c r="O642" s="12" t="s">
        <v>2611</v>
      </c>
      <c r="P642" s="14" t="s">
        <v>2607</v>
      </c>
      <c r="Q642">
        <v>1</v>
      </c>
      <c r="R642" s="20"/>
    </row>
    <row r="643" spans="1:18" ht="20.100000000000001" customHeight="1">
      <c r="A643" s="7">
        <v>638</v>
      </c>
      <c r="B643" s="8">
        <v>3204342006</v>
      </c>
      <c r="C643" s="9" t="s">
        <v>2479</v>
      </c>
      <c r="D643" s="10" t="s">
        <v>22</v>
      </c>
      <c r="E643" s="11" t="s">
        <v>2480</v>
      </c>
      <c r="F643" s="11" t="s">
        <v>2481</v>
      </c>
      <c r="G643" s="9" t="s">
        <v>2470</v>
      </c>
      <c r="H643" s="9" t="s">
        <v>2471</v>
      </c>
      <c r="I643" s="9" t="s">
        <v>223</v>
      </c>
      <c r="J643" s="9" t="s">
        <v>100</v>
      </c>
      <c r="K643" s="12" t="s">
        <v>19</v>
      </c>
      <c r="L643" s="13" t="s">
        <v>20</v>
      </c>
      <c r="M643" s="12" t="s">
        <v>2604</v>
      </c>
      <c r="N643" s="12" t="s">
        <v>2605</v>
      </c>
      <c r="O643" s="12" t="s">
        <v>2606</v>
      </c>
      <c r="P643" s="14" t="s">
        <v>2607</v>
      </c>
      <c r="Q643">
        <v>1</v>
      </c>
      <c r="R643" s="20"/>
    </row>
    <row r="644" spans="1:18" ht="20.100000000000001" customHeight="1">
      <c r="A644" s="7">
        <v>639</v>
      </c>
      <c r="B644" s="8">
        <v>3204342006</v>
      </c>
      <c r="C644" s="9" t="s">
        <v>57</v>
      </c>
      <c r="D644" s="10" t="s">
        <v>18</v>
      </c>
      <c r="E644" s="11" t="s">
        <v>2482</v>
      </c>
      <c r="F644" s="11" t="s">
        <v>2483</v>
      </c>
      <c r="G644" s="9" t="s">
        <v>2484</v>
      </c>
      <c r="H644" s="9" t="s">
        <v>2471</v>
      </c>
      <c r="I644" s="9" t="s">
        <v>223</v>
      </c>
      <c r="J644" s="9" t="s">
        <v>100</v>
      </c>
      <c r="K644" s="12" t="s">
        <v>19</v>
      </c>
      <c r="L644" s="13" t="s">
        <v>20</v>
      </c>
      <c r="M644" s="12" t="s">
        <v>2604</v>
      </c>
      <c r="N644" s="12" t="s">
        <v>2605</v>
      </c>
      <c r="O644" s="12" t="s">
        <v>2606</v>
      </c>
      <c r="P644" s="14" t="s">
        <v>2607</v>
      </c>
      <c r="Q644">
        <v>1</v>
      </c>
      <c r="R644" s="20"/>
    </row>
    <row r="645" spans="1:18" ht="20.100000000000001" customHeight="1">
      <c r="A645" s="7">
        <v>640</v>
      </c>
      <c r="B645" s="8">
        <v>3204342006</v>
      </c>
      <c r="C645" s="9" t="s">
        <v>2485</v>
      </c>
      <c r="D645" s="10" t="s">
        <v>18</v>
      </c>
      <c r="E645" s="11" t="s">
        <v>2486</v>
      </c>
      <c r="F645" s="11" t="s">
        <v>2487</v>
      </c>
      <c r="G645" s="9" t="s">
        <v>2488</v>
      </c>
      <c r="H645" s="9" t="s">
        <v>2471</v>
      </c>
      <c r="I645" s="9" t="s">
        <v>223</v>
      </c>
      <c r="J645" s="9" t="s">
        <v>100</v>
      </c>
      <c r="K645" s="12" t="s">
        <v>19</v>
      </c>
      <c r="L645" s="13" t="s">
        <v>20</v>
      </c>
      <c r="M645" s="12" t="s">
        <v>2604</v>
      </c>
      <c r="N645" s="12" t="s">
        <v>2605</v>
      </c>
      <c r="O645" s="12" t="s">
        <v>195</v>
      </c>
      <c r="P645" s="14" t="s">
        <v>2621</v>
      </c>
      <c r="Q645">
        <v>1</v>
      </c>
      <c r="R645" s="20"/>
    </row>
    <row r="646" spans="1:18" ht="20.100000000000001" customHeight="1">
      <c r="A646" s="7">
        <v>641</v>
      </c>
      <c r="B646" s="8">
        <v>3204342006</v>
      </c>
      <c r="C646" s="9" t="s">
        <v>84</v>
      </c>
      <c r="D646" s="10" t="s">
        <v>18</v>
      </c>
      <c r="E646" s="11" t="s">
        <v>2489</v>
      </c>
      <c r="F646" s="11" t="s">
        <v>2490</v>
      </c>
      <c r="G646" s="9" t="s">
        <v>2491</v>
      </c>
      <c r="H646" s="9" t="s">
        <v>2471</v>
      </c>
      <c r="I646" s="9" t="s">
        <v>223</v>
      </c>
      <c r="J646" s="9" t="s">
        <v>100</v>
      </c>
      <c r="K646" s="12" t="s">
        <v>19</v>
      </c>
      <c r="L646" s="13" t="s">
        <v>20</v>
      </c>
      <c r="M646" s="12" t="s">
        <v>2604</v>
      </c>
      <c r="N646" s="12" t="s">
        <v>2605</v>
      </c>
      <c r="O646" s="12" t="s">
        <v>2608</v>
      </c>
      <c r="P646" s="14" t="s">
        <v>2607</v>
      </c>
      <c r="Q646">
        <v>1</v>
      </c>
      <c r="R646" s="20"/>
    </row>
    <row r="647" spans="1:18" ht="20.100000000000001" customHeight="1">
      <c r="A647" s="7">
        <v>642</v>
      </c>
      <c r="B647" s="8">
        <v>3204342006</v>
      </c>
      <c r="C647" s="9" t="s">
        <v>2492</v>
      </c>
      <c r="D647" s="10" t="s">
        <v>18</v>
      </c>
      <c r="E647" s="11" t="s">
        <v>2493</v>
      </c>
      <c r="F647" s="11" t="s">
        <v>2494</v>
      </c>
      <c r="G647" s="9" t="s">
        <v>2495</v>
      </c>
      <c r="H647" s="9" t="s">
        <v>2471</v>
      </c>
      <c r="I647" s="9" t="s">
        <v>223</v>
      </c>
      <c r="J647" s="9" t="s">
        <v>100</v>
      </c>
      <c r="K647" s="12" t="s">
        <v>19</v>
      </c>
      <c r="L647" s="13" t="s">
        <v>20</v>
      </c>
      <c r="M647" s="12" t="s">
        <v>2604</v>
      </c>
      <c r="N647" s="12" t="s">
        <v>2605</v>
      </c>
      <c r="O647" s="12" t="s">
        <v>195</v>
      </c>
      <c r="P647" s="14" t="s">
        <v>2621</v>
      </c>
      <c r="Q647">
        <v>1</v>
      </c>
      <c r="R647" s="20"/>
    </row>
    <row r="648" spans="1:18" ht="20.100000000000001" customHeight="1">
      <c r="A648" s="7">
        <v>643</v>
      </c>
      <c r="B648" s="8">
        <v>3204342006</v>
      </c>
      <c r="C648" s="9" t="s">
        <v>2496</v>
      </c>
      <c r="D648" s="10" t="s">
        <v>18</v>
      </c>
      <c r="E648" s="11" t="s">
        <v>2497</v>
      </c>
      <c r="F648" s="11" t="s">
        <v>2498</v>
      </c>
      <c r="G648" s="9" t="s">
        <v>2499</v>
      </c>
      <c r="H648" s="9" t="s">
        <v>2471</v>
      </c>
      <c r="I648" s="9" t="s">
        <v>223</v>
      </c>
      <c r="J648" s="9" t="s">
        <v>100</v>
      </c>
      <c r="K648" s="12" t="s">
        <v>19</v>
      </c>
      <c r="L648" s="13" t="s">
        <v>20</v>
      </c>
      <c r="M648" s="12" t="s">
        <v>2604</v>
      </c>
      <c r="N648" s="12" t="s">
        <v>2605</v>
      </c>
      <c r="O648" s="12" t="s">
        <v>2608</v>
      </c>
      <c r="P648" s="14" t="s">
        <v>2607</v>
      </c>
      <c r="Q648">
        <v>1</v>
      </c>
      <c r="R648" s="20"/>
    </row>
    <row r="649" spans="1:18" ht="20.100000000000001" customHeight="1">
      <c r="A649" s="7">
        <v>644</v>
      </c>
      <c r="B649" s="8">
        <v>3204342006</v>
      </c>
      <c r="C649" s="9" t="s">
        <v>115</v>
      </c>
      <c r="D649" s="10" t="s">
        <v>18</v>
      </c>
      <c r="E649" s="11" t="s">
        <v>2500</v>
      </c>
      <c r="F649" s="11" t="s">
        <v>2501</v>
      </c>
      <c r="G649" s="9" t="s">
        <v>2502</v>
      </c>
      <c r="H649" s="9" t="s">
        <v>2471</v>
      </c>
      <c r="I649" s="9" t="s">
        <v>223</v>
      </c>
      <c r="J649" s="9" t="s">
        <v>100</v>
      </c>
      <c r="K649" s="12" t="s">
        <v>19</v>
      </c>
      <c r="L649" s="13" t="s">
        <v>20</v>
      </c>
      <c r="M649" s="12" t="s">
        <v>2604</v>
      </c>
      <c r="N649" s="12" t="s">
        <v>2605</v>
      </c>
      <c r="O649" s="12" t="s">
        <v>2616</v>
      </c>
      <c r="P649" s="14" t="s">
        <v>2607</v>
      </c>
      <c r="Q649">
        <v>1</v>
      </c>
      <c r="R649" s="20"/>
    </row>
    <row r="650" spans="1:18" ht="20.100000000000001" customHeight="1">
      <c r="A650" s="7">
        <v>645</v>
      </c>
      <c r="B650" s="8">
        <v>3204342006</v>
      </c>
      <c r="C650" s="9" t="s">
        <v>2503</v>
      </c>
      <c r="D650" s="10" t="s">
        <v>22</v>
      </c>
      <c r="E650" s="11" t="s">
        <v>2504</v>
      </c>
      <c r="F650" s="11" t="s">
        <v>2505</v>
      </c>
      <c r="G650" s="9" t="s">
        <v>2506</v>
      </c>
      <c r="H650" s="9" t="s">
        <v>2471</v>
      </c>
      <c r="I650" s="9" t="s">
        <v>223</v>
      </c>
      <c r="J650" s="9" t="s">
        <v>100</v>
      </c>
      <c r="K650" s="12" t="s">
        <v>19</v>
      </c>
      <c r="L650" s="13" t="s">
        <v>20</v>
      </c>
      <c r="M650" s="12" t="s">
        <v>2604</v>
      </c>
      <c r="N650" s="12" t="s">
        <v>2605</v>
      </c>
      <c r="O650" s="12" t="s">
        <v>2616</v>
      </c>
      <c r="P650" s="14" t="s">
        <v>2607</v>
      </c>
      <c r="Q650">
        <v>1</v>
      </c>
      <c r="R650" s="20"/>
    </row>
    <row r="651" spans="1:18" ht="20.100000000000001" customHeight="1">
      <c r="A651" s="7">
        <v>646</v>
      </c>
      <c r="B651" s="8">
        <v>3204342006</v>
      </c>
      <c r="C651" s="9" t="s">
        <v>2507</v>
      </c>
      <c r="D651" s="10" t="s">
        <v>22</v>
      </c>
      <c r="E651" s="11" t="s">
        <v>2508</v>
      </c>
      <c r="F651" s="11" t="s">
        <v>2509</v>
      </c>
      <c r="G651" s="9" t="s">
        <v>2510</v>
      </c>
      <c r="H651" s="9" t="s">
        <v>2471</v>
      </c>
      <c r="I651" s="9" t="s">
        <v>223</v>
      </c>
      <c r="J651" s="9" t="s">
        <v>100</v>
      </c>
      <c r="K651" s="12" t="s">
        <v>19</v>
      </c>
      <c r="L651" s="13" t="s">
        <v>20</v>
      </c>
      <c r="M651" s="12" t="s">
        <v>2604</v>
      </c>
      <c r="N651" s="12" t="s">
        <v>2605</v>
      </c>
      <c r="O651" s="12" t="s">
        <v>2616</v>
      </c>
      <c r="P651" s="14" t="s">
        <v>2607</v>
      </c>
      <c r="Q651">
        <v>1</v>
      </c>
      <c r="R651" s="20"/>
    </row>
    <row r="652" spans="1:18" ht="20.100000000000001" customHeight="1">
      <c r="A652" s="7">
        <v>647</v>
      </c>
      <c r="B652" s="8">
        <v>3204342006</v>
      </c>
      <c r="C652" s="9" t="s">
        <v>2511</v>
      </c>
      <c r="D652" s="10" t="s">
        <v>22</v>
      </c>
      <c r="E652" s="11" t="s">
        <v>2512</v>
      </c>
      <c r="F652" s="11" t="s">
        <v>2513</v>
      </c>
      <c r="G652" s="9" t="s">
        <v>2514</v>
      </c>
      <c r="H652" s="9" t="s">
        <v>2471</v>
      </c>
      <c r="I652" s="9" t="s">
        <v>223</v>
      </c>
      <c r="J652" s="9" t="s">
        <v>100</v>
      </c>
      <c r="K652" s="12" t="s">
        <v>19</v>
      </c>
      <c r="L652" s="13" t="s">
        <v>20</v>
      </c>
      <c r="M652" s="12" t="s">
        <v>2604</v>
      </c>
      <c r="N652" s="12" t="s">
        <v>2605</v>
      </c>
      <c r="O652" s="12" t="s">
        <v>2606</v>
      </c>
      <c r="P652" s="14" t="s">
        <v>2607</v>
      </c>
      <c r="Q652">
        <v>1</v>
      </c>
      <c r="R652" s="20"/>
    </row>
    <row r="653" spans="1:18" ht="20.100000000000001" customHeight="1">
      <c r="A653" s="7">
        <v>648</v>
      </c>
      <c r="B653" s="8">
        <v>3204342006</v>
      </c>
      <c r="C653" s="9" t="s">
        <v>2515</v>
      </c>
      <c r="D653" s="10" t="s">
        <v>22</v>
      </c>
      <c r="E653" s="11" t="s">
        <v>2516</v>
      </c>
      <c r="F653" s="11" t="s">
        <v>2517</v>
      </c>
      <c r="G653" s="9" t="s">
        <v>2518</v>
      </c>
      <c r="H653" s="9" t="s">
        <v>2471</v>
      </c>
      <c r="I653" s="9" t="s">
        <v>223</v>
      </c>
      <c r="J653" s="9" t="s">
        <v>100</v>
      </c>
      <c r="K653" s="12" t="s">
        <v>19</v>
      </c>
      <c r="L653" s="13" t="s">
        <v>20</v>
      </c>
      <c r="M653" s="12" t="s">
        <v>2604</v>
      </c>
      <c r="N653" s="12" t="s">
        <v>2605</v>
      </c>
      <c r="O653" s="12" t="s">
        <v>2616</v>
      </c>
      <c r="P653" s="14" t="s">
        <v>2607</v>
      </c>
      <c r="Q653">
        <v>1</v>
      </c>
      <c r="R653" s="20"/>
    </row>
    <row r="654" spans="1:18" ht="20.100000000000001" customHeight="1">
      <c r="A654" s="7">
        <v>649</v>
      </c>
      <c r="B654" s="8">
        <v>3204342006</v>
      </c>
      <c r="C654" s="9" t="s">
        <v>2519</v>
      </c>
      <c r="D654" s="10" t="s">
        <v>22</v>
      </c>
      <c r="E654" s="11" t="s">
        <v>2520</v>
      </c>
      <c r="F654" s="11" t="s">
        <v>2521</v>
      </c>
      <c r="G654" s="9" t="s">
        <v>2522</v>
      </c>
      <c r="H654" s="9" t="s">
        <v>2471</v>
      </c>
      <c r="I654" s="9" t="s">
        <v>223</v>
      </c>
      <c r="J654" s="9" t="s">
        <v>100</v>
      </c>
      <c r="K654" s="12" t="s">
        <v>19</v>
      </c>
      <c r="L654" s="13" t="s">
        <v>20</v>
      </c>
      <c r="M654" s="12" t="s">
        <v>2604</v>
      </c>
      <c r="N654" s="12" t="s">
        <v>2605</v>
      </c>
      <c r="O654" s="12" t="s">
        <v>2612</v>
      </c>
      <c r="P654" s="14" t="s">
        <v>2613</v>
      </c>
      <c r="Q654">
        <v>1</v>
      </c>
      <c r="R654" s="20"/>
    </row>
    <row r="655" spans="1:18" ht="20.100000000000001" customHeight="1">
      <c r="A655" s="7">
        <v>650</v>
      </c>
      <c r="B655" s="8">
        <v>3204342006</v>
      </c>
      <c r="C655" s="9" t="s">
        <v>72</v>
      </c>
      <c r="D655" s="10" t="s">
        <v>18</v>
      </c>
      <c r="E655" s="11" t="s">
        <v>2523</v>
      </c>
      <c r="F655" s="11" t="s">
        <v>2524</v>
      </c>
      <c r="G655" s="9" t="s">
        <v>2525</v>
      </c>
      <c r="H655" s="9" t="s">
        <v>2471</v>
      </c>
      <c r="I655" s="9" t="s">
        <v>223</v>
      </c>
      <c r="J655" s="9" t="s">
        <v>100</v>
      </c>
      <c r="K655" s="12" t="s">
        <v>19</v>
      </c>
      <c r="L655" s="13" t="s">
        <v>20</v>
      </c>
      <c r="M655" s="12" t="s">
        <v>2604</v>
      </c>
      <c r="N655" s="12" t="s">
        <v>2605</v>
      </c>
      <c r="O655" s="12" t="s">
        <v>2606</v>
      </c>
      <c r="P655" s="14" t="s">
        <v>2607</v>
      </c>
      <c r="Q655">
        <v>1</v>
      </c>
      <c r="R655" s="20"/>
    </row>
    <row r="656" spans="1:18" ht="20.100000000000001" customHeight="1">
      <c r="A656" s="7">
        <v>651</v>
      </c>
      <c r="B656" s="8">
        <v>3204342006</v>
      </c>
      <c r="C656" s="9" t="s">
        <v>2526</v>
      </c>
      <c r="D656" s="10" t="s">
        <v>22</v>
      </c>
      <c r="E656" s="11" t="s">
        <v>2527</v>
      </c>
      <c r="F656" s="11" t="s">
        <v>2528</v>
      </c>
      <c r="G656" s="9" t="s">
        <v>2529</v>
      </c>
      <c r="H656" s="9" t="s">
        <v>2471</v>
      </c>
      <c r="I656" s="9" t="s">
        <v>223</v>
      </c>
      <c r="J656" s="9" t="s">
        <v>100</v>
      </c>
      <c r="K656" s="12" t="s">
        <v>19</v>
      </c>
      <c r="L656" s="13" t="s">
        <v>20</v>
      </c>
      <c r="M656" s="12" t="s">
        <v>2604</v>
      </c>
      <c r="N656" s="12" t="s">
        <v>2605</v>
      </c>
      <c r="O656" s="12" t="s">
        <v>2608</v>
      </c>
      <c r="P656" s="14" t="s">
        <v>2607</v>
      </c>
      <c r="Q656">
        <v>1</v>
      </c>
      <c r="R656" s="20"/>
    </row>
    <row r="657" spans="1:18" ht="20.100000000000001" customHeight="1">
      <c r="A657" s="7">
        <v>652</v>
      </c>
      <c r="B657" s="8">
        <v>3204342006</v>
      </c>
      <c r="C657" s="9" t="s">
        <v>2530</v>
      </c>
      <c r="D657" s="10" t="s">
        <v>22</v>
      </c>
      <c r="E657" s="11" t="s">
        <v>2531</v>
      </c>
      <c r="F657" s="11" t="s">
        <v>2532</v>
      </c>
      <c r="G657" s="9" t="s">
        <v>2533</v>
      </c>
      <c r="H657" s="9" t="s">
        <v>2471</v>
      </c>
      <c r="I657" s="9" t="s">
        <v>223</v>
      </c>
      <c r="J657" s="9" t="s">
        <v>100</v>
      </c>
      <c r="K657" s="12" t="s">
        <v>19</v>
      </c>
      <c r="L657" s="13" t="s">
        <v>20</v>
      </c>
      <c r="M657" s="12" t="s">
        <v>2604</v>
      </c>
      <c r="N657" s="12" t="s">
        <v>2605</v>
      </c>
      <c r="O657" s="12" t="s">
        <v>2608</v>
      </c>
      <c r="P657" s="14" t="s">
        <v>2607</v>
      </c>
      <c r="Q657">
        <v>1</v>
      </c>
      <c r="R657" s="20"/>
    </row>
    <row r="658" spans="1:18" ht="20.100000000000001" customHeight="1">
      <c r="A658" s="7">
        <v>653</v>
      </c>
      <c r="B658" s="8">
        <v>3204342006</v>
      </c>
      <c r="C658" s="9" t="s">
        <v>2534</v>
      </c>
      <c r="D658" s="10" t="s">
        <v>22</v>
      </c>
      <c r="E658" s="11" t="s">
        <v>2535</v>
      </c>
      <c r="F658" s="11" t="s">
        <v>2536</v>
      </c>
      <c r="G658" s="9" t="s">
        <v>2537</v>
      </c>
      <c r="H658" s="9" t="s">
        <v>2471</v>
      </c>
      <c r="I658" s="9" t="s">
        <v>223</v>
      </c>
      <c r="J658" s="9" t="s">
        <v>100</v>
      </c>
      <c r="K658" s="12" t="s">
        <v>19</v>
      </c>
      <c r="L658" s="13" t="s">
        <v>20</v>
      </c>
      <c r="M658" s="12" t="s">
        <v>2604</v>
      </c>
      <c r="N658" s="12" t="s">
        <v>2605</v>
      </c>
      <c r="O658" s="12" t="s">
        <v>2608</v>
      </c>
      <c r="P658" s="14" t="s">
        <v>2607</v>
      </c>
      <c r="Q658">
        <v>1</v>
      </c>
      <c r="R658" s="20"/>
    </row>
    <row r="659" spans="1:18" ht="20.100000000000001" customHeight="1">
      <c r="A659" s="7">
        <v>654</v>
      </c>
      <c r="B659" s="8">
        <v>3204342006</v>
      </c>
      <c r="C659" s="9" t="s">
        <v>82</v>
      </c>
      <c r="D659" s="10" t="s">
        <v>18</v>
      </c>
      <c r="E659" s="11" t="s">
        <v>2538</v>
      </c>
      <c r="F659" s="11" t="s">
        <v>2539</v>
      </c>
      <c r="G659" s="9" t="s">
        <v>2540</v>
      </c>
      <c r="H659" s="9" t="s">
        <v>2471</v>
      </c>
      <c r="I659" s="9" t="s">
        <v>223</v>
      </c>
      <c r="J659" s="9" t="s">
        <v>100</v>
      </c>
      <c r="K659" s="12" t="s">
        <v>19</v>
      </c>
      <c r="L659" s="13" t="s">
        <v>20</v>
      </c>
      <c r="M659" s="12" t="s">
        <v>2604</v>
      </c>
      <c r="N659" s="12" t="s">
        <v>2605</v>
      </c>
      <c r="O659" s="12" t="s">
        <v>2608</v>
      </c>
      <c r="P659" s="14" t="s">
        <v>2607</v>
      </c>
      <c r="Q659">
        <v>1</v>
      </c>
      <c r="R659" s="20"/>
    </row>
    <row r="660" spans="1:18" ht="20.100000000000001" customHeight="1">
      <c r="A660" s="7">
        <v>655</v>
      </c>
      <c r="B660" s="8">
        <v>3204342004</v>
      </c>
      <c r="C660" s="9" t="s">
        <v>2541</v>
      </c>
      <c r="D660" s="10" t="s">
        <v>18</v>
      </c>
      <c r="E660" s="11" t="s">
        <v>2542</v>
      </c>
      <c r="F660" s="11" t="s">
        <v>2543</v>
      </c>
      <c r="G660" s="9" t="s">
        <v>2544</v>
      </c>
      <c r="H660" s="9" t="s">
        <v>2545</v>
      </c>
      <c r="I660" s="9" t="s">
        <v>223</v>
      </c>
      <c r="J660" s="9" t="s">
        <v>100</v>
      </c>
      <c r="K660" s="12" t="s">
        <v>19</v>
      </c>
      <c r="L660" s="13" t="s">
        <v>20</v>
      </c>
      <c r="M660" s="12" t="s">
        <v>2604</v>
      </c>
      <c r="N660" s="12" t="s">
        <v>2605</v>
      </c>
      <c r="O660" s="12" t="s">
        <v>2616</v>
      </c>
      <c r="P660" s="14" t="s">
        <v>2607</v>
      </c>
      <c r="Q660">
        <v>1</v>
      </c>
      <c r="R660" s="20">
        <f>SUM(Q660:Q680)</f>
        <v>21</v>
      </c>
    </row>
    <row r="661" spans="1:18" ht="20.100000000000001" customHeight="1">
      <c r="A661" s="7">
        <v>656</v>
      </c>
      <c r="B661" s="8">
        <v>3204342004</v>
      </c>
      <c r="C661" s="9" t="s">
        <v>2546</v>
      </c>
      <c r="D661" s="10" t="s">
        <v>22</v>
      </c>
      <c r="E661" s="11" t="s">
        <v>2547</v>
      </c>
      <c r="F661" s="11" t="s">
        <v>2548</v>
      </c>
      <c r="G661" s="9" t="s">
        <v>2549</v>
      </c>
      <c r="H661" s="9" t="s">
        <v>2545</v>
      </c>
      <c r="I661" s="9" t="s">
        <v>223</v>
      </c>
      <c r="J661" s="9" t="s">
        <v>100</v>
      </c>
      <c r="K661" s="12" t="s">
        <v>19</v>
      </c>
      <c r="L661" s="13" t="s">
        <v>20</v>
      </c>
      <c r="M661" s="12" t="s">
        <v>2604</v>
      </c>
      <c r="N661" s="12" t="s">
        <v>2605</v>
      </c>
      <c r="O661" s="12" t="s">
        <v>2616</v>
      </c>
      <c r="P661" s="14" t="s">
        <v>2607</v>
      </c>
      <c r="Q661">
        <v>1</v>
      </c>
      <c r="R661" s="20"/>
    </row>
    <row r="662" spans="1:18" ht="20.100000000000001" customHeight="1">
      <c r="A662" s="7">
        <v>657</v>
      </c>
      <c r="B662" s="8">
        <v>3204342004</v>
      </c>
      <c r="C662" s="9" t="s">
        <v>2550</v>
      </c>
      <c r="D662" s="10" t="s">
        <v>22</v>
      </c>
      <c r="E662" s="11" t="s">
        <v>2551</v>
      </c>
      <c r="F662" s="11" t="s">
        <v>2552</v>
      </c>
      <c r="G662" s="9" t="s">
        <v>2553</v>
      </c>
      <c r="H662" s="9" t="s">
        <v>2545</v>
      </c>
      <c r="I662" s="9" t="s">
        <v>223</v>
      </c>
      <c r="J662" s="9" t="s">
        <v>100</v>
      </c>
      <c r="K662" s="12" t="s">
        <v>19</v>
      </c>
      <c r="L662" s="13" t="s">
        <v>20</v>
      </c>
      <c r="M662" s="12" t="s">
        <v>2604</v>
      </c>
      <c r="N662" s="12" t="s">
        <v>2605</v>
      </c>
      <c r="O662" s="12" t="s">
        <v>2608</v>
      </c>
      <c r="P662" s="14" t="s">
        <v>2607</v>
      </c>
      <c r="Q662">
        <v>1</v>
      </c>
      <c r="R662" s="20"/>
    </row>
    <row r="663" spans="1:18" ht="20.100000000000001" customHeight="1">
      <c r="A663" s="7">
        <v>658</v>
      </c>
      <c r="B663" s="8">
        <v>3204342004</v>
      </c>
      <c r="C663" s="9" t="s">
        <v>84</v>
      </c>
      <c r="D663" s="10" t="s">
        <v>18</v>
      </c>
      <c r="E663" s="11" t="s">
        <v>2554</v>
      </c>
      <c r="F663" s="11" t="s">
        <v>2555</v>
      </c>
      <c r="G663" s="9" t="s">
        <v>2556</v>
      </c>
      <c r="H663" s="9" t="s">
        <v>2545</v>
      </c>
      <c r="I663" s="9" t="s">
        <v>223</v>
      </c>
      <c r="J663" s="9" t="s">
        <v>100</v>
      </c>
      <c r="K663" s="12" t="s">
        <v>19</v>
      </c>
      <c r="L663" s="13" t="s">
        <v>20</v>
      </c>
      <c r="M663" s="12" t="s">
        <v>2604</v>
      </c>
      <c r="N663" s="12" t="s">
        <v>2605</v>
      </c>
      <c r="O663" s="12" t="s">
        <v>2623</v>
      </c>
      <c r="P663" s="14" t="s">
        <v>2615</v>
      </c>
      <c r="Q663">
        <v>1</v>
      </c>
      <c r="R663" s="20"/>
    </row>
    <row r="664" spans="1:18" ht="20.100000000000001" customHeight="1">
      <c r="A664" s="7">
        <v>659</v>
      </c>
      <c r="B664" s="8">
        <v>3204342004</v>
      </c>
      <c r="C664" s="9" t="s">
        <v>122</v>
      </c>
      <c r="D664" s="10" t="s">
        <v>22</v>
      </c>
      <c r="E664" s="11" t="s">
        <v>2557</v>
      </c>
      <c r="F664" s="11" t="s">
        <v>2558</v>
      </c>
      <c r="G664" s="9" t="s">
        <v>2556</v>
      </c>
      <c r="H664" s="9" t="s">
        <v>2545</v>
      </c>
      <c r="I664" s="9" t="s">
        <v>223</v>
      </c>
      <c r="J664" s="9" t="s">
        <v>100</v>
      </c>
      <c r="K664" s="12" t="s">
        <v>19</v>
      </c>
      <c r="L664" s="13" t="s">
        <v>20</v>
      </c>
      <c r="M664" s="12" t="s">
        <v>2604</v>
      </c>
      <c r="N664" s="12" t="s">
        <v>2605</v>
      </c>
      <c r="O664" s="12" t="s">
        <v>2606</v>
      </c>
      <c r="P664" s="14" t="s">
        <v>2607</v>
      </c>
      <c r="Q664">
        <v>1</v>
      </c>
      <c r="R664" s="20"/>
    </row>
    <row r="665" spans="1:18" ht="20.100000000000001" customHeight="1">
      <c r="A665" s="7">
        <v>660</v>
      </c>
      <c r="B665" s="8">
        <v>3204342004</v>
      </c>
      <c r="C665" s="9" t="s">
        <v>2559</v>
      </c>
      <c r="D665" s="10" t="s">
        <v>22</v>
      </c>
      <c r="E665" s="11" t="s">
        <v>2560</v>
      </c>
      <c r="F665" s="11" t="s">
        <v>2561</v>
      </c>
      <c r="G665" s="9" t="s">
        <v>2562</v>
      </c>
      <c r="H665" s="9" t="s">
        <v>2545</v>
      </c>
      <c r="I665" s="9" t="s">
        <v>223</v>
      </c>
      <c r="J665" s="9" t="s">
        <v>100</v>
      </c>
      <c r="K665" s="12" t="s">
        <v>19</v>
      </c>
      <c r="L665" s="13" t="s">
        <v>20</v>
      </c>
      <c r="M665" s="12" t="s">
        <v>2604</v>
      </c>
      <c r="N665" s="12" t="s">
        <v>2605</v>
      </c>
      <c r="O665" s="12" t="s">
        <v>2608</v>
      </c>
      <c r="P665" s="14" t="s">
        <v>2607</v>
      </c>
      <c r="Q665">
        <v>1</v>
      </c>
      <c r="R665" s="20"/>
    </row>
    <row r="666" spans="1:18" ht="20.100000000000001" customHeight="1">
      <c r="A666" s="7">
        <v>661</v>
      </c>
      <c r="B666" s="8">
        <v>3204342004</v>
      </c>
      <c r="C666" s="9" t="s">
        <v>2563</v>
      </c>
      <c r="D666" s="10" t="s">
        <v>22</v>
      </c>
      <c r="E666" s="11" t="s">
        <v>2564</v>
      </c>
      <c r="F666" s="11" t="s">
        <v>2565</v>
      </c>
      <c r="G666" s="9" t="s">
        <v>2566</v>
      </c>
      <c r="H666" s="9" t="s">
        <v>2545</v>
      </c>
      <c r="I666" s="9" t="s">
        <v>223</v>
      </c>
      <c r="J666" s="9" t="s">
        <v>100</v>
      </c>
      <c r="K666" s="12" t="s">
        <v>19</v>
      </c>
      <c r="L666" s="13" t="s">
        <v>20</v>
      </c>
      <c r="M666" s="12" t="s">
        <v>2604</v>
      </c>
      <c r="N666" s="12" t="s">
        <v>2605</v>
      </c>
      <c r="O666" s="12" t="s">
        <v>2616</v>
      </c>
      <c r="P666" s="14" t="s">
        <v>2607</v>
      </c>
      <c r="Q666">
        <v>1</v>
      </c>
      <c r="R666" s="20"/>
    </row>
    <row r="667" spans="1:18" ht="20.100000000000001" customHeight="1">
      <c r="A667" s="7">
        <v>662</v>
      </c>
      <c r="B667" s="8">
        <v>3204342004</v>
      </c>
      <c r="C667" s="9" t="s">
        <v>61</v>
      </c>
      <c r="D667" s="10" t="s">
        <v>22</v>
      </c>
      <c r="E667" s="11" t="s">
        <v>2567</v>
      </c>
      <c r="F667" s="11" t="s">
        <v>2568</v>
      </c>
      <c r="G667" s="9" t="s">
        <v>2569</v>
      </c>
      <c r="H667" s="9" t="s">
        <v>2545</v>
      </c>
      <c r="I667" s="9" t="s">
        <v>223</v>
      </c>
      <c r="J667" s="9" t="s">
        <v>100</v>
      </c>
      <c r="K667" s="12" t="s">
        <v>19</v>
      </c>
      <c r="L667" s="13" t="s">
        <v>20</v>
      </c>
      <c r="M667" s="12" t="s">
        <v>2604</v>
      </c>
      <c r="N667" s="12" t="s">
        <v>2605</v>
      </c>
      <c r="O667" s="12" t="s">
        <v>2608</v>
      </c>
      <c r="P667" s="14" t="s">
        <v>2607</v>
      </c>
      <c r="Q667">
        <v>1</v>
      </c>
      <c r="R667" s="20"/>
    </row>
    <row r="668" spans="1:18" ht="20.100000000000001" customHeight="1">
      <c r="A668" s="7">
        <v>663</v>
      </c>
      <c r="B668" s="8">
        <v>3204342004</v>
      </c>
      <c r="C668" s="9" t="s">
        <v>137</v>
      </c>
      <c r="D668" s="10" t="s">
        <v>22</v>
      </c>
      <c r="E668" s="11" t="s">
        <v>2570</v>
      </c>
      <c r="F668" s="11" t="s">
        <v>2571</v>
      </c>
      <c r="G668" s="9" t="s">
        <v>2569</v>
      </c>
      <c r="H668" s="9" t="s">
        <v>2545</v>
      </c>
      <c r="I668" s="9" t="s">
        <v>223</v>
      </c>
      <c r="J668" s="9" t="s">
        <v>100</v>
      </c>
      <c r="K668" s="12" t="s">
        <v>19</v>
      </c>
      <c r="L668" s="13" t="s">
        <v>20</v>
      </c>
      <c r="M668" s="12" t="s">
        <v>2604</v>
      </c>
      <c r="N668" s="12" t="s">
        <v>2605</v>
      </c>
      <c r="O668" s="12" t="s">
        <v>2622</v>
      </c>
      <c r="P668" s="14" t="s">
        <v>2607</v>
      </c>
      <c r="Q668">
        <v>1</v>
      </c>
      <c r="R668" s="20"/>
    </row>
    <row r="669" spans="1:18" ht="20.100000000000001" customHeight="1">
      <c r="A669" s="7">
        <v>664</v>
      </c>
      <c r="B669" s="8">
        <v>3204342004</v>
      </c>
      <c r="C669" s="9" t="s">
        <v>2572</v>
      </c>
      <c r="D669" s="10" t="s">
        <v>22</v>
      </c>
      <c r="E669" s="11" t="s">
        <v>2573</v>
      </c>
      <c r="F669" s="11" t="s">
        <v>2574</v>
      </c>
      <c r="G669" s="9" t="s">
        <v>2562</v>
      </c>
      <c r="H669" s="9" t="s">
        <v>2545</v>
      </c>
      <c r="I669" s="9" t="s">
        <v>223</v>
      </c>
      <c r="J669" s="9" t="s">
        <v>100</v>
      </c>
      <c r="K669" s="12" t="s">
        <v>19</v>
      </c>
      <c r="L669" s="13" t="s">
        <v>20</v>
      </c>
      <c r="M669" s="12" t="s">
        <v>2604</v>
      </c>
      <c r="N669" s="12" t="s">
        <v>2605</v>
      </c>
      <c r="O669" s="12" t="s">
        <v>2606</v>
      </c>
      <c r="P669" s="14" t="s">
        <v>2607</v>
      </c>
      <c r="Q669">
        <v>1</v>
      </c>
      <c r="R669" s="20"/>
    </row>
    <row r="670" spans="1:18" ht="20.100000000000001" customHeight="1">
      <c r="A670" s="7">
        <v>665</v>
      </c>
      <c r="B670" s="8">
        <v>3204342004</v>
      </c>
      <c r="C670" s="9" t="s">
        <v>73</v>
      </c>
      <c r="D670" s="10" t="s">
        <v>22</v>
      </c>
      <c r="E670" s="11" t="s">
        <v>2575</v>
      </c>
      <c r="F670" s="11" t="s">
        <v>2576</v>
      </c>
      <c r="G670" s="9" t="s">
        <v>2556</v>
      </c>
      <c r="H670" s="9" t="s">
        <v>2545</v>
      </c>
      <c r="I670" s="9" t="s">
        <v>223</v>
      </c>
      <c r="J670" s="9" t="s">
        <v>100</v>
      </c>
      <c r="K670" s="12" t="s">
        <v>19</v>
      </c>
      <c r="L670" s="13" t="s">
        <v>20</v>
      </c>
      <c r="M670" s="12" t="s">
        <v>2604</v>
      </c>
      <c r="N670" s="12" t="s">
        <v>2605</v>
      </c>
      <c r="O670" s="12" t="s">
        <v>2608</v>
      </c>
      <c r="P670" s="14" t="s">
        <v>2607</v>
      </c>
      <c r="Q670">
        <v>1</v>
      </c>
      <c r="R670" s="20"/>
    </row>
    <row r="671" spans="1:18" ht="20.100000000000001" customHeight="1">
      <c r="A671" s="7">
        <v>666</v>
      </c>
      <c r="B671" s="8">
        <v>3204342004</v>
      </c>
      <c r="C671" s="9" t="s">
        <v>2577</v>
      </c>
      <c r="D671" s="10" t="s">
        <v>22</v>
      </c>
      <c r="E671" s="11" t="s">
        <v>2578</v>
      </c>
      <c r="F671" s="11" t="s">
        <v>2579</v>
      </c>
      <c r="G671" s="9" t="s">
        <v>2566</v>
      </c>
      <c r="H671" s="9" t="s">
        <v>2545</v>
      </c>
      <c r="I671" s="9" t="s">
        <v>223</v>
      </c>
      <c r="J671" s="9" t="s">
        <v>100</v>
      </c>
      <c r="K671" s="12" t="s">
        <v>19</v>
      </c>
      <c r="L671" s="13" t="s">
        <v>20</v>
      </c>
      <c r="M671" s="12" t="s">
        <v>2604</v>
      </c>
      <c r="N671" s="12" t="s">
        <v>2605</v>
      </c>
      <c r="O671" s="12" t="s">
        <v>2608</v>
      </c>
      <c r="P671" s="14" t="s">
        <v>2607</v>
      </c>
      <c r="Q671">
        <v>1</v>
      </c>
      <c r="R671" s="20"/>
    </row>
    <row r="672" spans="1:18" ht="20.100000000000001" customHeight="1">
      <c r="A672" s="7">
        <v>667</v>
      </c>
      <c r="B672" s="8">
        <v>3204342004</v>
      </c>
      <c r="C672" s="9" t="s">
        <v>2580</v>
      </c>
      <c r="D672" s="10" t="s">
        <v>22</v>
      </c>
      <c r="E672" s="11" t="s">
        <v>2581</v>
      </c>
      <c r="F672" s="11" t="s">
        <v>2582</v>
      </c>
      <c r="G672" s="9" t="s">
        <v>2566</v>
      </c>
      <c r="H672" s="9" t="s">
        <v>2545</v>
      </c>
      <c r="I672" s="9" t="s">
        <v>223</v>
      </c>
      <c r="J672" s="9" t="s">
        <v>100</v>
      </c>
      <c r="K672" s="12" t="s">
        <v>19</v>
      </c>
      <c r="L672" s="13" t="s">
        <v>20</v>
      </c>
      <c r="M672" s="12" t="s">
        <v>2604</v>
      </c>
      <c r="N672" s="12" t="s">
        <v>2605</v>
      </c>
      <c r="O672" s="12" t="s">
        <v>2616</v>
      </c>
      <c r="P672" s="14" t="s">
        <v>2607</v>
      </c>
      <c r="Q672">
        <v>1</v>
      </c>
      <c r="R672" s="20"/>
    </row>
    <row r="673" spans="1:18" ht="20.100000000000001" customHeight="1">
      <c r="A673" s="7">
        <v>668</v>
      </c>
      <c r="B673" s="8">
        <v>3204342004</v>
      </c>
      <c r="C673" s="9" t="s">
        <v>30</v>
      </c>
      <c r="D673" s="10" t="s">
        <v>22</v>
      </c>
      <c r="E673" s="11" t="s">
        <v>2583</v>
      </c>
      <c r="F673" s="11" t="s">
        <v>2584</v>
      </c>
      <c r="G673" s="9" t="s">
        <v>2566</v>
      </c>
      <c r="H673" s="9" t="s">
        <v>2545</v>
      </c>
      <c r="I673" s="9" t="s">
        <v>223</v>
      </c>
      <c r="J673" s="9" t="s">
        <v>100</v>
      </c>
      <c r="K673" s="12" t="s">
        <v>19</v>
      </c>
      <c r="L673" s="13" t="s">
        <v>20</v>
      </c>
      <c r="M673" s="12" t="s">
        <v>2604</v>
      </c>
      <c r="N673" s="12" t="s">
        <v>2605</v>
      </c>
      <c r="O673" s="12" t="s">
        <v>2611</v>
      </c>
      <c r="P673" s="14" t="s">
        <v>2607</v>
      </c>
      <c r="Q673">
        <v>1</v>
      </c>
      <c r="R673" s="20"/>
    </row>
    <row r="674" spans="1:18" ht="20.100000000000001" customHeight="1">
      <c r="A674" s="7">
        <v>669</v>
      </c>
      <c r="B674" s="8">
        <v>3204342004</v>
      </c>
      <c r="C674" s="9" t="s">
        <v>189</v>
      </c>
      <c r="D674" s="10" t="s">
        <v>22</v>
      </c>
      <c r="E674" s="11" t="s">
        <v>2585</v>
      </c>
      <c r="F674" s="11" t="s">
        <v>2586</v>
      </c>
      <c r="G674" s="9" t="s">
        <v>2566</v>
      </c>
      <c r="H674" s="9" t="s">
        <v>2545</v>
      </c>
      <c r="I674" s="9" t="s">
        <v>223</v>
      </c>
      <c r="J674" s="9" t="s">
        <v>100</v>
      </c>
      <c r="K674" s="12" t="s">
        <v>19</v>
      </c>
      <c r="L674" s="13" t="s">
        <v>20</v>
      </c>
      <c r="M674" s="12" t="s">
        <v>2604</v>
      </c>
      <c r="N674" s="12" t="s">
        <v>2605</v>
      </c>
      <c r="O674" s="12" t="s">
        <v>2606</v>
      </c>
      <c r="P674" s="14" t="s">
        <v>2607</v>
      </c>
      <c r="Q674">
        <v>1</v>
      </c>
      <c r="R674" s="20"/>
    </row>
    <row r="675" spans="1:18" ht="20.100000000000001" customHeight="1">
      <c r="A675" s="7">
        <v>670</v>
      </c>
      <c r="B675" s="8">
        <v>3204342004</v>
      </c>
      <c r="C675" s="9" t="s">
        <v>2587</v>
      </c>
      <c r="D675" s="10" t="s">
        <v>22</v>
      </c>
      <c r="E675" s="11" t="s">
        <v>2588</v>
      </c>
      <c r="F675" s="11" t="s">
        <v>2589</v>
      </c>
      <c r="G675" s="9" t="s">
        <v>2569</v>
      </c>
      <c r="H675" s="9" t="s">
        <v>2545</v>
      </c>
      <c r="I675" s="9" t="s">
        <v>223</v>
      </c>
      <c r="J675" s="9" t="s">
        <v>100</v>
      </c>
      <c r="K675" s="12" t="s">
        <v>19</v>
      </c>
      <c r="L675" s="13" t="s">
        <v>20</v>
      </c>
      <c r="M675" s="12" t="s">
        <v>2604</v>
      </c>
      <c r="N675" s="12" t="s">
        <v>2605</v>
      </c>
      <c r="O675" s="12" t="s">
        <v>2622</v>
      </c>
      <c r="P675" s="14" t="s">
        <v>2607</v>
      </c>
      <c r="Q675">
        <v>1</v>
      </c>
      <c r="R675" s="20"/>
    </row>
    <row r="676" spans="1:18" ht="20.100000000000001" customHeight="1">
      <c r="A676" s="7">
        <v>671</v>
      </c>
      <c r="B676" s="8">
        <v>3204342004</v>
      </c>
      <c r="C676" s="9" t="s">
        <v>2590</v>
      </c>
      <c r="D676" s="10" t="s">
        <v>22</v>
      </c>
      <c r="E676" s="11" t="s">
        <v>2591</v>
      </c>
      <c r="F676" s="11" t="s">
        <v>2592</v>
      </c>
      <c r="G676" s="9" t="s">
        <v>2566</v>
      </c>
      <c r="H676" s="9" t="s">
        <v>2545</v>
      </c>
      <c r="I676" s="9" t="s">
        <v>223</v>
      </c>
      <c r="J676" s="9" t="s">
        <v>100</v>
      </c>
      <c r="K676" s="12" t="s">
        <v>19</v>
      </c>
      <c r="L676" s="13" t="s">
        <v>20</v>
      </c>
      <c r="M676" s="12" t="s">
        <v>2604</v>
      </c>
      <c r="N676" s="12" t="s">
        <v>2605</v>
      </c>
      <c r="O676" s="12" t="s">
        <v>2606</v>
      </c>
      <c r="P676" s="14" t="s">
        <v>2607</v>
      </c>
      <c r="Q676">
        <v>1</v>
      </c>
      <c r="R676" s="20"/>
    </row>
    <row r="677" spans="1:18" ht="20.100000000000001" customHeight="1">
      <c r="A677" s="7">
        <v>672</v>
      </c>
      <c r="B677" s="8">
        <v>3204342004</v>
      </c>
      <c r="C677" s="9" t="s">
        <v>2593</v>
      </c>
      <c r="D677" s="10" t="s">
        <v>22</v>
      </c>
      <c r="E677" s="11" t="s">
        <v>2594</v>
      </c>
      <c r="F677" s="11" t="s">
        <v>2595</v>
      </c>
      <c r="G677" s="9" t="s">
        <v>2566</v>
      </c>
      <c r="H677" s="9" t="s">
        <v>2545</v>
      </c>
      <c r="I677" s="9" t="s">
        <v>223</v>
      </c>
      <c r="J677" s="9" t="s">
        <v>100</v>
      </c>
      <c r="K677" s="12" t="s">
        <v>19</v>
      </c>
      <c r="L677" s="13" t="s">
        <v>20</v>
      </c>
      <c r="M677" s="12" t="s">
        <v>2604</v>
      </c>
      <c r="N677" s="12" t="s">
        <v>2605</v>
      </c>
      <c r="O677" s="12" t="s">
        <v>2608</v>
      </c>
      <c r="P677" s="14" t="s">
        <v>2607</v>
      </c>
      <c r="Q677">
        <v>1</v>
      </c>
      <c r="R677" s="20"/>
    </row>
    <row r="678" spans="1:18" ht="20.100000000000001" customHeight="1">
      <c r="A678" s="7">
        <v>673</v>
      </c>
      <c r="B678" s="8">
        <v>3204342004</v>
      </c>
      <c r="C678" s="9" t="s">
        <v>2596</v>
      </c>
      <c r="D678" s="10" t="s">
        <v>22</v>
      </c>
      <c r="E678" s="11" t="s">
        <v>2597</v>
      </c>
      <c r="F678" s="11" t="s">
        <v>2598</v>
      </c>
      <c r="G678" s="9" t="s">
        <v>2569</v>
      </c>
      <c r="H678" s="9" t="s">
        <v>2545</v>
      </c>
      <c r="I678" s="9" t="s">
        <v>223</v>
      </c>
      <c r="J678" s="9" t="s">
        <v>100</v>
      </c>
      <c r="K678" s="12" t="s">
        <v>19</v>
      </c>
      <c r="L678" s="13" t="s">
        <v>20</v>
      </c>
      <c r="M678" s="12" t="s">
        <v>2604</v>
      </c>
      <c r="N678" s="12" t="s">
        <v>2605</v>
      </c>
      <c r="O678" s="12" t="s">
        <v>2608</v>
      </c>
      <c r="P678" s="14" t="s">
        <v>2607</v>
      </c>
      <c r="Q678">
        <v>1</v>
      </c>
      <c r="R678" s="20"/>
    </row>
    <row r="679" spans="1:18" ht="20.100000000000001" customHeight="1">
      <c r="A679" s="7">
        <v>674</v>
      </c>
      <c r="B679" s="8">
        <v>3204342004</v>
      </c>
      <c r="C679" s="9" t="s">
        <v>23</v>
      </c>
      <c r="D679" s="10" t="s">
        <v>22</v>
      </c>
      <c r="E679" s="11" t="s">
        <v>2599</v>
      </c>
      <c r="F679" s="11" t="s">
        <v>2600</v>
      </c>
      <c r="G679" s="9" t="s">
        <v>2569</v>
      </c>
      <c r="H679" s="9" t="s">
        <v>2545</v>
      </c>
      <c r="I679" s="9" t="s">
        <v>223</v>
      </c>
      <c r="J679" s="9" t="s">
        <v>100</v>
      </c>
      <c r="K679" s="12" t="s">
        <v>19</v>
      </c>
      <c r="L679" s="13" t="s">
        <v>20</v>
      </c>
      <c r="M679" s="12" t="s">
        <v>2604</v>
      </c>
      <c r="N679" s="12" t="s">
        <v>2605</v>
      </c>
      <c r="O679" s="12" t="s">
        <v>2622</v>
      </c>
      <c r="P679" s="14" t="s">
        <v>2607</v>
      </c>
      <c r="Q679">
        <v>1</v>
      </c>
      <c r="R679" s="20"/>
    </row>
    <row r="680" spans="1:18" ht="20.100000000000001" customHeight="1" thickBot="1">
      <c r="A680" s="7">
        <v>675</v>
      </c>
      <c r="B680" s="8">
        <v>3204342004</v>
      </c>
      <c r="C680" s="9" t="s">
        <v>2601</v>
      </c>
      <c r="D680" s="10" t="s">
        <v>22</v>
      </c>
      <c r="E680" s="11" t="s">
        <v>2602</v>
      </c>
      <c r="F680" s="11" t="s">
        <v>2603</v>
      </c>
      <c r="G680" s="9" t="s">
        <v>2569</v>
      </c>
      <c r="H680" s="9" t="s">
        <v>2545</v>
      </c>
      <c r="I680" s="9" t="s">
        <v>223</v>
      </c>
      <c r="J680" s="9" t="s">
        <v>100</v>
      </c>
      <c r="K680" s="12" t="s">
        <v>19</v>
      </c>
      <c r="L680" s="13" t="s">
        <v>20</v>
      </c>
      <c r="M680" s="12" t="s">
        <v>2604</v>
      </c>
      <c r="N680" s="12" t="s">
        <v>2605</v>
      </c>
      <c r="O680" s="12" t="s">
        <v>2620</v>
      </c>
      <c r="P680" s="14" t="s">
        <v>2615</v>
      </c>
      <c r="Q680">
        <v>1</v>
      </c>
      <c r="R680" s="22"/>
    </row>
    <row r="681" spans="1:18">
      <c r="R681">
        <f>SUM(R6:R680)</f>
        <v>675</v>
      </c>
    </row>
  </sheetData>
  <autoFilter ref="A5:P680" xr:uid="{A83BDD8E-42D1-4CDC-B442-82F549518CDC}">
    <sortState xmlns:xlrd2="http://schemas.microsoft.com/office/spreadsheetml/2017/richdata2" ref="A6:P680">
      <sortCondition ref="J5:J680"/>
    </sortState>
  </autoFilter>
  <mergeCells count="50">
    <mergeCell ref="R415:R433"/>
    <mergeCell ref="R402:R414"/>
    <mergeCell ref="R386:R401"/>
    <mergeCell ref="R367:R385"/>
    <mergeCell ref="R301:R311"/>
    <mergeCell ref="R312:R326"/>
    <mergeCell ref="R327:R341"/>
    <mergeCell ref="R342:R353"/>
    <mergeCell ref="R354:R366"/>
    <mergeCell ref="R500:R518"/>
    <mergeCell ref="R483:R499"/>
    <mergeCell ref="R463:R482"/>
    <mergeCell ref="R447:R462"/>
    <mergeCell ref="R434:R445"/>
    <mergeCell ref="R248:R262"/>
    <mergeCell ref="R263:R277"/>
    <mergeCell ref="R278:R285"/>
    <mergeCell ref="R286:R300"/>
    <mergeCell ref="R660:R680"/>
    <mergeCell ref="R640:R659"/>
    <mergeCell ref="R625:R639"/>
    <mergeCell ref="R610:R624"/>
    <mergeCell ref="R597:R609"/>
    <mergeCell ref="R584:R596"/>
    <mergeCell ref="R578:R583"/>
    <mergeCell ref="R569:R577"/>
    <mergeCell ref="R563:R568"/>
    <mergeCell ref="R542:R561"/>
    <mergeCell ref="R534:R541"/>
    <mergeCell ref="R519:R533"/>
    <mergeCell ref="R178:R192"/>
    <mergeCell ref="R193:R207"/>
    <mergeCell ref="R208:R223"/>
    <mergeCell ref="R224:R237"/>
    <mergeCell ref="R238:R247"/>
    <mergeCell ref="R102:R111"/>
    <mergeCell ref="R112:R130"/>
    <mergeCell ref="R131:R150"/>
    <mergeCell ref="R151:R164"/>
    <mergeCell ref="R165:R177"/>
    <mergeCell ref="R33:R46"/>
    <mergeCell ref="R47:R61"/>
    <mergeCell ref="R62:R76"/>
    <mergeCell ref="R77:R89"/>
    <mergeCell ref="R90:R101"/>
    <mergeCell ref="A1:P1"/>
    <mergeCell ref="A2:P2"/>
    <mergeCell ref="A3:P3"/>
    <mergeCell ref="R6:R19"/>
    <mergeCell ref="R20:R32"/>
  </mergeCells>
  <conditionalFormatting sqref="F4:F680">
    <cfRule type="expression" dxfId="2" priority="1">
      <formula>#REF!=TRUE</formula>
    </cfRule>
    <cfRule type="expression" dxfId="1" priority="2">
      <formula>#REF!&lt;&gt;16</formula>
    </cfRule>
    <cfRule type="containsBlanks" priority="3" stopIfTrue="1">
      <formula>LEN(TRIM(F4))=0</formula>
    </cfRule>
    <cfRule type="expression" dxfId="0" priority="4">
      <formula>#REF!=TRUE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6268-C585-49E9-8665-27202B70DFF9}">
  <dimension ref="A1:I75"/>
  <sheetViews>
    <sheetView tabSelected="1" topLeftCell="A22" workbookViewId="0">
      <selection activeCell="F34" sqref="F34:F36"/>
    </sheetView>
  </sheetViews>
  <sheetFormatPr defaultRowHeight="14.25"/>
  <cols>
    <col min="1" max="1" width="3.75" customWidth="1"/>
    <col min="2" max="2" width="18.125" customWidth="1"/>
    <col min="3" max="3" width="19.125" customWidth="1"/>
    <col min="4" max="5" width="14.75" style="17" customWidth="1"/>
    <col min="6" max="6" width="23.875" customWidth="1"/>
    <col min="7" max="7" width="23.125" customWidth="1"/>
    <col min="8" max="8" width="20.25" customWidth="1"/>
    <col min="9" max="9" width="17.875" customWidth="1"/>
  </cols>
  <sheetData>
    <row r="1" spans="1:9" s="17" customFormat="1">
      <c r="A1" s="23" t="s">
        <v>2635</v>
      </c>
      <c r="B1" s="23" t="s">
        <v>2636</v>
      </c>
      <c r="C1" s="23" t="s">
        <v>2637</v>
      </c>
      <c r="D1" s="23" t="s">
        <v>2638</v>
      </c>
      <c r="E1" s="23" t="s">
        <v>2644</v>
      </c>
      <c r="F1" s="23" t="s">
        <v>2639</v>
      </c>
      <c r="G1" s="23" t="s">
        <v>2640</v>
      </c>
      <c r="H1" s="23" t="s">
        <v>2641</v>
      </c>
      <c r="I1" s="23" t="s">
        <v>2642</v>
      </c>
    </row>
    <row r="2" spans="1:9">
      <c r="A2" s="18">
        <v>1</v>
      </c>
      <c r="B2" s="18" t="str">
        <f>'PROV. JAWA BARAT'!H6</f>
        <v>ARJASARI</v>
      </c>
      <c r="C2" s="18" t="str">
        <f>'PROV. JAWA BARAT'!I6</f>
        <v>ARJASARI</v>
      </c>
      <c r="D2" s="23">
        <f>'PROV. JAWA BARAT'!R6</f>
        <v>14</v>
      </c>
      <c r="E2" s="37">
        <f>SUM(D2:D5)</f>
        <v>55</v>
      </c>
      <c r="F2" s="25" t="s">
        <v>2646</v>
      </c>
      <c r="G2" s="25" t="s">
        <v>2665</v>
      </c>
      <c r="H2" s="18"/>
      <c r="I2" s="18"/>
    </row>
    <row r="3" spans="1:9">
      <c r="A3" s="18">
        <v>2</v>
      </c>
      <c r="B3" s="18" t="str">
        <f>'PROV. JAWA BARAT'!H20</f>
        <v>RANCAKOLE</v>
      </c>
      <c r="C3" s="18" t="str">
        <f>'PROV. JAWA BARAT'!I20</f>
        <v>ARJASARI</v>
      </c>
      <c r="D3" s="23">
        <f>'PROV. JAWA BARAT'!R20</f>
        <v>13</v>
      </c>
      <c r="E3" s="38"/>
      <c r="F3" s="27"/>
      <c r="G3" s="27"/>
      <c r="H3" s="18"/>
      <c r="I3" s="18"/>
    </row>
    <row r="4" spans="1:9">
      <c r="A4" s="18">
        <v>5</v>
      </c>
      <c r="B4" s="18" t="str">
        <f>'PROV. JAWA BARAT'!H62</f>
        <v>PASIRMULYA</v>
      </c>
      <c r="C4" s="18" t="str">
        <f>'PROV. JAWA BARAT'!I62</f>
        <v>BANJARAN</v>
      </c>
      <c r="D4" s="23">
        <f>'PROV. JAWA BARAT'!R62</f>
        <v>15</v>
      </c>
      <c r="E4" s="38"/>
      <c r="F4" s="27"/>
      <c r="G4" s="27"/>
      <c r="H4" s="18"/>
      <c r="I4" s="18"/>
    </row>
    <row r="5" spans="1:9">
      <c r="A5" s="18">
        <v>6</v>
      </c>
      <c r="B5" s="18" t="str">
        <f>'PROV. JAWA BARAT'!H77</f>
        <v>SINDANGPANON</v>
      </c>
      <c r="C5" s="18" t="str">
        <f>'PROV. JAWA BARAT'!I77</f>
        <v>BANJARAN</v>
      </c>
      <c r="D5" s="23">
        <f>'PROV. JAWA BARAT'!R77</f>
        <v>13</v>
      </c>
      <c r="E5" s="39"/>
      <c r="F5" s="26"/>
      <c r="G5" s="26"/>
      <c r="H5" s="18"/>
      <c r="I5" s="18"/>
    </row>
    <row r="6" spans="1:9">
      <c r="A6" s="18">
        <v>3</v>
      </c>
      <c r="B6" s="18" t="str">
        <f>'PROV. JAWA BARAT'!H33</f>
        <v>JELEKONG</v>
      </c>
      <c r="C6" s="18" t="str">
        <f>'PROV. JAWA BARAT'!I33</f>
        <v>BALEENDAH</v>
      </c>
      <c r="D6" s="23">
        <f>'PROV. JAWA BARAT'!R33</f>
        <v>14</v>
      </c>
      <c r="E6" s="37">
        <f>SUM(D6:D9)</f>
        <v>52</v>
      </c>
      <c r="F6" s="25" t="s">
        <v>2652</v>
      </c>
      <c r="G6" s="25" t="s">
        <v>2659</v>
      </c>
      <c r="H6" s="18"/>
      <c r="I6" s="18"/>
    </row>
    <row r="7" spans="1:9">
      <c r="A7" s="18">
        <v>4</v>
      </c>
      <c r="B7" s="18" t="str">
        <f>'PROV. JAWA BARAT'!H47</f>
        <v>WARGAMEKAR</v>
      </c>
      <c r="C7" s="18" t="str">
        <f>'PROV. JAWA BARAT'!I47</f>
        <v>BALEENDAH</v>
      </c>
      <c r="D7" s="23">
        <f>'PROV. JAWA BARAT'!R47</f>
        <v>15</v>
      </c>
      <c r="E7" s="38"/>
      <c r="F7" s="27"/>
      <c r="G7" s="27"/>
      <c r="H7" s="18"/>
      <c r="I7" s="18"/>
    </row>
    <row r="8" spans="1:9">
      <c r="A8" s="18">
        <v>22</v>
      </c>
      <c r="B8" s="18" t="str">
        <f>'PROV. JAWA BARAT'!H301</f>
        <v>SUKAPURA</v>
      </c>
      <c r="C8" s="18" t="str">
        <f>'PROV. JAWA BARAT'!I301</f>
        <v>DAYEUHKOLOT</v>
      </c>
      <c r="D8" s="23">
        <f>'PROV. JAWA BARAT'!R301</f>
        <v>11</v>
      </c>
      <c r="E8" s="38"/>
      <c r="F8" s="27"/>
      <c r="G8" s="27"/>
      <c r="H8" s="18"/>
      <c r="I8" s="18"/>
    </row>
    <row r="9" spans="1:9">
      <c r="A9" s="18">
        <v>7</v>
      </c>
      <c r="B9" s="18" t="str">
        <f>'PROV. JAWA BARAT'!H90</f>
        <v>BOJONGSOANG</v>
      </c>
      <c r="C9" s="18" t="str">
        <f>'PROV. JAWA BARAT'!I90</f>
        <v>BOJONGSOANG</v>
      </c>
      <c r="D9" s="23">
        <f>'PROV. JAWA BARAT'!R90</f>
        <v>12</v>
      </c>
      <c r="E9" s="39"/>
      <c r="F9" s="26"/>
      <c r="G9" s="26"/>
      <c r="H9" s="18"/>
      <c r="I9" s="18"/>
    </row>
    <row r="10" spans="1:9" s="40" customFormat="1">
      <c r="A10" s="18">
        <v>12</v>
      </c>
      <c r="B10" s="18" t="str">
        <f>'PROV. JAWA BARAT'!H165</f>
        <v>CILENGKRANG</v>
      </c>
      <c r="C10" s="18" t="str">
        <f>'PROV. JAWA BARAT'!I165</f>
        <v>CILENGKRANG</v>
      </c>
      <c r="D10" s="23">
        <f>'PROV. JAWA BARAT'!R165</f>
        <v>13</v>
      </c>
      <c r="E10" s="37">
        <f>SUM(D10:D13)</f>
        <v>52</v>
      </c>
      <c r="F10" s="25" t="s">
        <v>2649</v>
      </c>
      <c r="G10" s="25" t="s">
        <v>2648</v>
      </c>
      <c r="H10" s="18"/>
      <c r="I10" s="18"/>
    </row>
    <row r="11" spans="1:9" s="40" customFormat="1">
      <c r="A11" s="18">
        <v>13</v>
      </c>
      <c r="B11" s="18" t="str">
        <f>'PROV. JAWA BARAT'!H178</f>
        <v>GIRIMEKAR</v>
      </c>
      <c r="C11" s="18" t="str">
        <f>'PROV. JAWA BARAT'!I178</f>
        <v>CILENGKRANG</v>
      </c>
      <c r="D11" s="23">
        <f>'PROV. JAWA BARAT'!R178</f>
        <v>15</v>
      </c>
      <c r="E11" s="38"/>
      <c r="F11" s="27"/>
      <c r="G11" s="27"/>
      <c r="H11" s="18"/>
      <c r="I11" s="18"/>
    </row>
    <row r="12" spans="1:9" s="40" customFormat="1">
      <c r="A12" s="18">
        <v>16</v>
      </c>
      <c r="B12" s="18" t="str">
        <f>'PROV. JAWA BARAT'!H224</f>
        <v>CIBEUNYING</v>
      </c>
      <c r="C12" s="18" t="str">
        <f>'PROV. JAWA BARAT'!I224</f>
        <v>CIMENYAN</v>
      </c>
      <c r="D12" s="23">
        <f>'PROV. JAWA BARAT'!R224</f>
        <v>14</v>
      </c>
      <c r="E12" s="38"/>
      <c r="F12" s="27"/>
      <c r="G12" s="27"/>
      <c r="H12" s="18"/>
      <c r="I12" s="18"/>
    </row>
    <row r="13" spans="1:9" s="40" customFormat="1">
      <c r="A13" s="18">
        <v>17</v>
      </c>
      <c r="B13" s="18" t="str">
        <f>'PROV. JAWA BARAT'!H238</f>
        <v>MEKARSALUYU</v>
      </c>
      <c r="C13" s="18" t="str">
        <f>'PROV. JAWA BARAT'!I238</f>
        <v>CIMENYAN</v>
      </c>
      <c r="D13" s="23">
        <f>'PROV. JAWA BARAT'!R238</f>
        <v>10</v>
      </c>
      <c r="E13" s="39"/>
      <c r="F13" s="26"/>
      <c r="G13" s="26"/>
      <c r="H13" s="18"/>
      <c r="I13" s="18"/>
    </row>
    <row r="14" spans="1:9">
      <c r="A14" s="18">
        <v>27</v>
      </c>
      <c r="B14" s="18" t="str">
        <f>'PROV. JAWA BARAT'!H367</f>
        <v>GAJAH MEKAR</v>
      </c>
      <c r="C14" s="18" t="str">
        <f>'PROV. JAWA BARAT'!I367</f>
        <v>KUTAWARINGIN</v>
      </c>
      <c r="D14" s="23">
        <f>'PROV. JAWA BARAT'!R367</f>
        <v>19</v>
      </c>
      <c r="E14" s="37">
        <f>SUM(D14:D16)</f>
        <v>51</v>
      </c>
      <c r="F14" s="25" t="s">
        <v>2653</v>
      </c>
      <c r="G14" s="25" t="s">
        <v>2661</v>
      </c>
      <c r="H14" s="18"/>
      <c r="I14" s="18"/>
    </row>
    <row r="15" spans="1:9">
      <c r="A15" s="18">
        <v>28</v>
      </c>
      <c r="B15" s="18" t="str">
        <f>'PROV. JAWA BARAT'!H386</f>
        <v>JATISARI</v>
      </c>
      <c r="C15" s="18" t="str">
        <f>'PROV. JAWA BARAT'!I386</f>
        <v>KUTAWARINGIN</v>
      </c>
      <c r="D15" s="23">
        <f>'PROV. JAWA BARAT'!R386</f>
        <v>16</v>
      </c>
      <c r="E15" s="38"/>
      <c r="F15" s="27"/>
      <c r="G15" s="27"/>
      <c r="H15" s="18"/>
      <c r="I15" s="18"/>
    </row>
    <row r="16" spans="1:9">
      <c r="A16" s="18">
        <v>32</v>
      </c>
      <c r="B16" s="18" t="str">
        <f>'PROV. JAWA BARAT'!H447</f>
        <v>CIGONDEWAH HILIR</v>
      </c>
      <c r="C16" s="18" t="str">
        <f>'PROV. JAWA BARAT'!I447</f>
        <v>MARGAASIH</v>
      </c>
      <c r="D16" s="23">
        <f>'PROV. JAWA BARAT'!R447</f>
        <v>16</v>
      </c>
      <c r="E16" s="39"/>
      <c r="F16" s="26"/>
      <c r="G16" s="26"/>
      <c r="H16" s="18"/>
      <c r="I16" s="18"/>
    </row>
    <row r="17" spans="1:9">
      <c r="A17" s="18">
        <v>41</v>
      </c>
      <c r="B17" s="18" t="str">
        <f>'PROV. JAWA BARAT'!H584</f>
        <v>ALAMENDAH</v>
      </c>
      <c r="C17" s="18" t="str">
        <f>'PROV. JAWA BARAT'!I584</f>
        <v>RANCABALI</v>
      </c>
      <c r="D17" s="23">
        <f>'PROV. JAWA BARAT'!R584</f>
        <v>13</v>
      </c>
      <c r="E17" s="37">
        <f>SUM(D17:D21)</f>
        <v>59</v>
      </c>
      <c r="F17" s="25" t="s">
        <v>2645</v>
      </c>
      <c r="G17" s="25"/>
      <c r="H17" s="18"/>
      <c r="I17" s="18"/>
    </row>
    <row r="18" spans="1:9">
      <c r="A18" s="18">
        <v>42</v>
      </c>
      <c r="B18" s="18" t="str">
        <f>'PROV. JAWA BARAT'!H597</f>
        <v>CIPELAH</v>
      </c>
      <c r="C18" s="18" t="str">
        <f>'PROV. JAWA BARAT'!I597</f>
        <v>RANCABALI</v>
      </c>
      <c r="D18" s="23">
        <f>'PROV. JAWA BARAT'!R597</f>
        <v>13</v>
      </c>
      <c r="E18" s="38"/>
      <c r="F18" s="27"/>
      <c r="G18" s="27"/>
      <c r="H18" s="18"/>
      <c r="I18" s="18"/>
    </row>
    <row r="19" spans="1:9">
      <c r="A19" s="18">
        <v>20</v>
      </c>
      <c r="B19" s="18" t="str">
        <f>'PROV. JAWA BARAT'!H278</f>
        <v>CIWIDEY</v>
      </c>
      <c r="C19" s="18" t="str">
        <f>'PROV. JAWA BARAT'!I278</f>
        <v>CIWIDEY</v>
      </c>
      <c r="D19" s="23">
        <f>'PROV. JAWA BARAT'!R278</f>
        <v>8</v>
      </c>
      <c r="E19" s="38"/>
      <c r="F19" s="27"/>
      <c r="G19" s="27"/>
      <c r="H19" s="18"/>
      <c r="I19" s="18"/>
    </row>
    <row r="20" spans="1:9">
      <c r="A20" s="18">
        <v>21</v>
      </c>
      <c r="B20" s="18" t="str">
        <f>'PROV. JAWA BARAT'!H286</f>
        <v>RAWABOGO</v>
      </c>
      <c r="C20" s="18" t="str">
        <f>'PROV. JAWA BARAT'!I286</f>
        <v>CIWIDEY</v>
      </c>
      <c r="D20" s="23">
        <f>'PROV. JAWA BARAT'!R286</f>
        <v>15</v>
      </c>
      <c r="E20" s="38"/>
      <c r="F20" s="27"/>
      <c r="G20" s="27"/>
      <c r="H20" s="18"/>
      <c r="I20" s="18"/>
    </row>
    <row r="21" spans="1:9">
      <c r="A21" s="18">
        <v>39</v>
      </c>
      <c r="B21" s="18" t="str">
        <f>'PROV. JAWA BARAT'!H562</f>
        <v>CIBODAS</v>
      </c>
      <c r="C21" s="18" t="str">
        <f>'PROV. JAWA BARAT'!I562</f>
        <v>PASIRJAMBU</v>
      </c>
      <c r="D21" s="23">
        <f>'PROV. JAWA BARAT'!R569</f>
        <v>10</v>
      </c>
      <c r="E21" s="39"/>
      <c r="F21" s="26"/>
      <c r="G21" s="26"/>
      <c r="H21" s="18"/>
      <c r="I21" s="18"/>
    </row>
    <row r="22" spans="1:9">
      <c r="A22" s="18">
        <v>8</v>
      </c>
      <c r="B22" s="18" t="str">
        <f>'PROV. JAWA BARAT'!H102</f>
        <v>BABAKAN PEUTEUY</v>
      </c>
      <c r="C22" s="18" t="str">
        <f>'PROV. JAWA BARAT'!I102</f>
        <v>CICALENGKA</v>
      </c>
      <c r="D22" s="23">
        <f>'PROV. JAWA BARAT'!R102</f>
        <v>10</v>
      </c>
      <c r="E22" s="37">
        <f>SUM(D22:D24)</f>
        <v>49</v>
      </c>
      <c r="F22" s="25"/>
      <c r="G22" s="25" t="s">
        <v>2658</v>
      </c>
      <c r="H22" s="18"/>
      <c r="I22" s="18"/>
    </row>
    <row r="23" spans="1:9">
      <c r="A23" s="18">
        <v>9</v>
      </c>
      <c r="B23" s="18" t="str">
        <f>'PROV. JAWA BARAT'!H112</f>
        <v>TANJUNGWANGI</v>
      </c>
      <c r="C23" s="18" t="str">
        <f>'PROV. JAWA BARAT'!I112</f>
        <v>CICALENGKA</v>
      </c>
      <c r="D23" s="23">
        <f>'PROV. JAWA BARAT'!R112</f>
        <v>19</v>
      </c>
      <c r="E23" s="38"/>
      <c r="F23" s="27"/>
      <c r="G23" s="27"/>
      <c r="H23" s="18"/>
      <c r="I23" s="18"/>
    </row>
    <row r="24" spans="1:9">
      <c r="A24" s="18">
        <v>10</v>
      </c>
      <c r="B24" s="18" t="str">
        <f>'PROV. JAWA BARAT'!H131</f>
        <v>CIHANYIR</v>
      </c>
      <c r="C24" s="18" t="str">
        <f>'PROV. JAWA BARAT'!I131</f>
        <v>CIKANCUNG</v>
      </c>
      <c r="D24" s="23">
        <f>'PROV. JAWA BARAT'!R131</f>
        <v>20</v>
      </c>
      <c r="E24" s="38"/>
      <c r="F24" s="26"/>
      <c r="G24" s="26"/>
      <c r="H24" s="18"/>
      <c r="I24" s="18"/>
    </row>
    <row r="25" spans="1:9">
      <c r="A25" s="18">
        <v>18</v>
      </c>
      <c r="B25" s="18" t="str">
        <f>'PROV. JAWA BARAT'!H248</f>
        <v>SARIMAHI</v>
      </c>
      <c r="C25" s="18" t="str">
        <f>'PROV. JAWA BARAT'!I248</f>
        <v>CIPARAY</v>
      </c>
      <c r="D25" s="23">
        <f>'PROV. JAWA BARAT'!R248</f>
        <v>15</v>
      </c>
      <c r="E25" s="37">
        <f>SUM(D25:D27)</f>
        <v>49</v>
      </c>
      <c r="F25" s="25" t="s">
        <v>2654</v>
      </c>
      <c r="G25" s="25" t="s">
        <v>2656</v>
      </c>
      <c r="H25" s="18"/>
      <c r="I25" s="18"/>
    </row>
    <row r="26" spans="1:9">
      <c r="A26" s="18">
        <v>19</v>
      </c>
      <c r="B26" s="18" t="str">
        <f>'PROV. JAWA BARAT'!H263</f>
        <v>SUMBERSARI</v>
      </c>
      <c r="C26" s="18" t="str">
        <f>'PROV. JAWA BARAT'!I263</f>
        <v>CIPARAY</v>
      </c>
      <c r="D26" s="23">
        <f>'PROV. JAWA BARAT'!R263</f>
        <v>15</v>
      </c>
      <c r="E26" s="38"/>
      <c r="F26" s="27"/>
      <c r="G26" s="27"/>
      <c r="H26" s="18"/>
      <c r="I26" s="18"/>
    </row>
    <row r="27" spans="1:9">
      <c r="A27" s="18">
        <v>30</v>
      </c>
      <c r="B27" s="18" t="str">
        <f>'PROV. JAWA BARAT'!H415</f>
        <v>MAJASETRA</v>
      </c>
      <c r="C27" s="18" t="str">
        <f>'PROV. JAWA BARAT'!I415</f>
        <v>MAJALAYA</v>
      </c>
      <c r="D27" s="23">
        <f>'PROV. JAWA BARAT'!R415</f>
        <v>19</v>
      </c>
      <c r="E27" s="39"/>
      <c r="F27" s="26"/>
      <c r="G27" s="26"/>
      <c r="H27" s="18"/>
      <c r="I27" s="18"/>
    </row>
    <row r="28" spans="1:9">
      <c r="A28" s="18">
        <v>14</v>
      </c>
      <c r="B28" s="18" t="str">
        <f>'PROV. JAWA BARAT'!H193</f>
        <v>CILEUNYI KULON</v>
      </c>
      <c r="C28" s="18" t="str">
        <f>'PROV. JAWA BARAT'!I193</f>
        <v>CILEUNYI</v>
      </c>
      <c r="D28" s="23">
        <f>'PROV. JAWA BARAT'!R193</f>
        <v>15</v>
      </c>
      <c r="E28" s="38">
        <f>SUM(D28:D30)</f>
        <v>49</v>
      </c>
      <c r="F28" s="25"/>
      <c r="G28" s="25" t="s">
        <v>2647</v>
      </c>
      <c r="H28" s="18"/>
      <c r="I28" s="18"/>
    </row>
    <row r="29" spans="1:9">
      <c r="A29" s="18">
        <v>11</v>
      </c>
      <c r="B29" s="18" t="str">
        <f>'PROV. JAWA BARAT'!H151</f>
        <v>CILULUK</v>
      </c>
      <c r="C29" s="18" t="str">
        <f>'PROV. JAWA BARAT'!I151</f>
        <v>CIKANCUNG</v>
      </c>
      <c r="D29" s="23">
        <f>'PROV. JAWA BARAT'!R151</f>
        <v>14</v>
      </c>
      <c r="E29" s="38"/>
      <c r="F29" s="27"/>
      <c r="G29" s="27"/>
      <c r="H29" s="18"/>
      <c r="I29" s="18"/>
    </row>
    <row r="30" spans="1:9">
      <c r="A30" s="18">
        <v>33</v>
      </c>
      <c r="B30" s="18" t="str">
        <f>'PROV. JAWA BARAT'!H463</f>
        <v>CIARO</v>
      </c>
      <c r="C30" s="18" t="str">
        <f>'PROV. JAWA BARAT'!I463</f>
        <v>NAGREG</v>
      </c>
      <c r="D30" s="23">
        <f>'PROV. JAWA BARAT'!R463</f>
        <v>20</v>
      </c>
      <c r="E30" s="39"/>
      <c r="F30" s="26"/>
      <c r="G30" s="26"/>
      <c r="H30" s="18"/>
      <c r="I30" s="18"/>
    </row>
    <row r="31" spans="1:9">
      <c r="A31" s="18">
        <v>23</v>
      </c>
      <c r="B31" s="18" t="str">
        <f>'PROV. JAWA BARAT'!H312</f>
        <v>CIBEET</v>
      </c>
      <c r="C31" s="18" t="str">
        <f>'PROV. JAWA BARAT'!I312</f>
        <v>IBUN</v>
      </c>
      <c r="D31" s="23">
        <f>'PROV. JAWA BARAT'!R312</f>
        <v>15</v>
      </c>
      <c r="E31" s="37">
        <f>SUM(D31:D33)</f>
        <v>50</v>
      </c>
      <c r="F31" s="25" t="s">
        <v>2651</v>
      </c>
      <c r="G31" s="25" t="s">
        <v>2655</v>
      </c>
      <c r="H31" s="18"/>
      <c r="I31" s="18"/>
    </row>
    <row r="32" spans="1:9">
      <c r="A32" s="18">
        <v>24</v>
      </c>
      <c r="B32" s="18" t="str">
        <f>'PROV. JAWA BARAT'!H327</f>
        <v>LAMPEGAN</v>
      </c>
      <c r="C32" s="18" t="str">
        <f>'PROV. JAWA BARAT'!I327</f>
        <v>IBUN</v>
      </c>
      <c r="D32" s="23">
        <f>'PROV. JAWA BARAT'!R327</f>
        <v>15</v>
      </c>
      <c r="E32" s="38"/>
      <c r="F32" s="27"/>
      <c r="G32" s="27"/>
      <c r="H32" s="18"/>
      <c r="I32" s="18"/>
    </row>
    <row r="33" spans="1:9">
      <c r="A33" s="18">
        <v>38</v>
      </c>
      <c r="B33" s="18" t="str">
        <f>'PROV. JAWA BARAT'!H542</f>
        <v>LOA</v>
      </c>
      <c r="C33" s="18" t="str">
        <f>'PROV. JAWA BARAT'!I542</f>
        <v>PASEH</v>
      </c>
      <c r="D33" s="23">
        <f>'PROV. JAWA BARAT'!R542</f>
        <v>20</v>
      </c>
      <c r="E33" s="39"/>
      <c r="F33" s="26"/>
      <c r="G33" s="26"/>
      <c r="H33" s="18"/>
      <c r="I33" s="18"/>
    </row>
    <row r="34" spans="1:9">
      <c r="A34" s="18">
        <v>43</v>
      </c>
      <c r="B34" s="18" t="str">
        <f>'PROV. JAWA BARAT'!H610</f>
        <v>BOJONGEMAS</v>
      </c>
      <c r="C34" s="18" t="str">
        <f>'PROV. JAWA BARAT'!I610</f>
        <v>SOLOKANJERUK</v>
      </c>
      <c r="D34" s="23">
        <f>'PROV. JAWA BARAT'!R610</f>
        <v>15</v>
      </c>
      <c r="E34" s="37">
        <f>SUM(D34:D36)</f>
        <v>50</v>
      </c>
      <c r="F34" s="25"/>
      <c r="G34" s="25" t="s">
        <v>2660</v>
      </c>
      <c r="H34" s="18"/>
      <c r="I34" s="18"/>
    </row>
    <row r="35" spans="1:9">
      <c r="A35" s="18">
        <v>44</v>
      </c>
      <c r="B35" s="18" t="str">
        <f>'PROV. JAWA BARAT'!H625</f>
        <v>CIBODAS</v>
      </c>
      <c r="C35" s="18" t="str">
        <f>'PROV. JAWA BARAT'!I625</f>
        <v>SOLOKANJERUK</v>
      </c>
      <c r="D35" s="23">
        <f>'PROV. JAWA BARAT'!R625</f>
        <v>15</v>
      </c>
      <c r="E35" s="38"/>
      <c r="F35" s="27"/>
      <c r="G35" s="27"/>
      <c r="H35" s="18"/>
      <c r="I35" s="18"/>
    </row>
    <row r="36" spans="1:9">
      <c r="A36" s="18">
        <v>45</v>
      </c>
      <c r="B36" s="18" t="str">
        <f>'PROV. JAWA BARAT'!H640</f>
        <v>PADAMUKTI</v>
      </c>
      <c r="C36" s="18" t="str">
        <f>'PROV. JAWA BARAT'!I640</f>
        <v>SOLOKANJERUK</v>
      </c>
      <c r="D36" s="23">
        <f>'PROV. JAWA BARAT'!R640</f>
        <v>20</v>
      </c>
      <c r="E36" s="39"/>
      <c r="F36" s="26"/>
      <c r="G36" s="26"/>
      <c r="H36" s="18"/>
      <c r="I36" s="18"/>
    </row>
    <row r="37" spans="1:9">
      <c r="A37" s="18">
        <v>46</v>
      </c>
      <c r="B37" s="18" t="str">
        <f>'PROV. JAWA BARAT'!H660</f>
        <v>PANYADAP</v>
      </c>
      <c r="C37" s="18" t="str">
        <f>'PROV. JAWA BARAT'!I660</f>
        <v>SOLOKANJERUK</v>
      </c>
      <c r="D37" s="23">
        <f>'PROV. JAWA BARAT'!R660</f>
        <v>21</v>
      </c>
      <c r="E37" s="37">
        <f>SUM(D37:D39)</f>
        <v>54</v>
      </c>
      <c r="F37" s="25" t="s">
        <v>2650</v>
      </c>
      <c r="G37" s="25" t="s">
        <v>2663</v>
      </c>
      <c r="H37" s="18"/>
      <c r="I37" s="18"/>
    </row>
    <row r="38" spans="1:9">
      <c r="A38" s="18">
        <v>29</v>
      </c>
      <c r="B38" s="18" t="str">
        <f>'PROV. JAWA BARAT'!H402</f>
        <v>MAJAKERTA</v>
      </c>
      <c r="C38" s="18" t="str">
        <f>'PROV. JAWA BARAT'!I402</f>
        <v>MAJALAYA</v>
      </c>
      <c r="D38" s="23">
        <f>'PROV. JAWA BARAT'!R402</f>
        <v>14</v>
      </c>
      <c r="E38" s="38"/>
      <c r="F38" s="27"/>
      <c r="G38" s="27"/>
      <c r="H38" s="18"/>
      <c r="I38" s="18"/>
    </row>
    <row r="39" spans="1:9">
      <c r="A39" s="18">
        <v>35</v>
      </c>
      <c r="B39" s="18" t="str">
        <f>'PROV. JAWA BARAT'!H500</f>
        <v>PANGAUBAN</v>
      </c>
      <c r="C39" s="18" t="str">
        <f>'PROV. JAWA BARAT'!I500</f>
        <v>PACET</v>
      </c>
      <c r="D39" s="23">
        <f>'PROV. JAWA BARAT'!R500</f>
        <v>19</v>
      </c>
      <c r="E39" s="39"/>
      <c r="F39" s="26"/>
      <c r="G39" s="26"/>
      <c r="H39" s="18"/>
      <c r="I39" s="18"/>
    </row>
    <row r="40" spans="1:9">
      <c r="A40" s="18">
        <v>25</v>
      </c>
      <c r="B40" s="18" t="str">
        <f>'PROV. JAWA BARAT'!H342</f>
        <v>CIKEMBANG</v>
      </c>
      <c r="C40" s="18" t="str">
        <f>'PROV. JAWA BARAT'!I342</f>
        <v>KERTASARI</v>
      </c>
      <c r="D40" s="23">
        <f>'PROV. JAWA BARAT'!R342</f>
        <v>12</v>
      </c>
      <c r="E40" s="37">
        <f>SUM(D40:D43)</f>
        <v>54</v>
      </c>
      <c r="F40" s="25" t="s">
        <v>2666</v>
      </c>
      <c r="G40" s="25" t="s">
        <v>2657</v>
      </c>
      <c r="H40" s="18"/>
      <c r="I40" s="18"/>
    </row>
    <row r="41" spans="1:9">
      <c r="A41" s="18">
        <v>26</v>
      </c>
      <c r="B41" s="18" t="str">
        <f>'PROV. JAWA BARAT'!H354</f>
        <v>TARUMAJAYA</v>
      </c>
      <c r="C41" s="18" t="str">
        <f>'PROV. JAWA BARAT'!I354</f>
        <v>KERTASARI</v>
      </c>
      <c r="D41" s="23">
        <f>'PROV. JAWA BARAT'!R354</f>
        <v>13</v>
      </c>
      <c r="E41" s="38"/>
      <c r="F41" s="27"/>
      <c r="G41" s="27"/>
      <c r="H41" s="18"/>
      <c r="I41" s="18"/>
    </row>
    <row r="42" spans="1:9">
      <c r="A42" s="18">
        <v>34</v>
      </c>
      <c r="B42" s="18" t="str">
        <f>'PROV. JAWA BARAT'!H483</f>
        <v>CIKAWAO</v>
      </c>
      <c r="C42" s="18" t="str">
        <f>'PROV. JAWA BARAT'!I483</f>
        <v>PACET</v>
      </c>
      <c r="D42" s="23">
        <f>'PROV. JAWA BARAT'!R483</f>
        <v>17</v>
      </c>
      <c r="E42" s="38"/>
      <c r="F42" s="27"/>
      <c r="G42" s="27"/>
      <c r="H42" s="18"/>
      <c r="I42" s="18"/>
    </row>
    <row r="43" spans="1:9">
      <c r="A43" s="18">
        <v>31</v>
      </c>
      <c r="B43" s="18" t="str">
        <f>'PROV. JAWA BARAT'!H434</f>
        <v>SUKAMAJU</v>
      </c>
      <c r="C43" s="18" t="str">
        <f>'PROV. JAWA BARAT'!I434</f>
        <v>MAJALAYA</v>
      </c>
      <c r="D43" s="23">
        <f>'PROV. JAWA BARAT'!R434</f>
        <v>12</v>
      </c>
      <c r="E43" s="38"/>
      <c r="F43" s="26"/>
      <c r="G43" s="26"/>
      <c r="H43" s="18"/>
      <c r="I43" s="18"/>
    </row>
    <row r="44" spans="1:9">
      <c r="A44" s="18">
        <v>15</v>
      </c>
      <c r="B44" s="18" t="str">
        <f>'PROV. JAWA BARAT'!H208</f>
        <v>PASIRHUNI</v>
      </c>
      <c r="C44" s="18" t="str">
        <f>'PROV. JAWA BARAT'!I208</f>
        <v>CIMAUNG</v>
      </c>
      <c r="D44" s="23">
        <f>'PROV. JAWA BARAT'!R208</f>
        <v>16</v>
      </c>
      <c r="E44" s="37">
        <f>SUM(D44:D47)</f>
        <v>51</v>
      </c>
      <c r="F44" s="25" t="s">
        <v>2662</v>
      </c>
      <c r="G44" s="25" t="s">
        <v>2664</v>
      </c>
      <c r="H44" s="18"/>
      <c r="I44" s="18"/>
    </row>
    <row r="45" spans="1:9">
      <c r="A45" s="18">
        <v>36</v>
      </c>
      <c r="B45" s="18" t="str">
        <f>'PROV. JAWA BARAT'!H519</f>
        <v>LAMAJANG</v>
      </c>
      <c r="C45" s="18" t="str">
        <f>'PROV. JAWA BARAT'!I519</f>
        <v>PANGALENGAN</v>
      </c>
      <c r="D45" s="23">
        <f>'PROV. JAWA BARAT'!R519</f>
        <v>15</v>
      </c>
      <c r="E45" s="38"/>
      <c r="F45" s="27"/>
      <c r="G45" s="27"/>
      <c r="H45" s="18"/>
      <c r="I45" s="18"/>
    </row>
    <row r="46" spans="1:9">
      <c r="A46" s="18">
        <v>37</v>
      </c>
      <c r="B46" s="18" t="str">
        <f>'PROV. JAWA BARAT'!H534</f>
        <v>PULOSARI</v>
      </c>
      <c r="C46" s="18" t="str">
        <f>'PROV. JAWA BARAT'!I534</f>
        <v>PANGALENGAN</v>
      </c>
      <c r="D46" s="23">
        <f>'PROV. JAWA BARAT'!R534</f>
        <v>8</v>
      </c>
      <c r="E46" s="38"/>
      <c r="F46" s="27"/>
      <c r="G46" s="27"/>
      <c r="H46" s="18"/>
      <c r="I46" s="18"/>
    </row>
    <row r="47" spans="1:9">
      <c r="A47" s="18">
        <v>40</v>
      </c>
      <c r="B47" s="18" t="str">
        <f>'PROV. JAWA BARAT'!H563</f>
        <v>CISONDARI</v>
      </c>
      <c r="C47" s="18" t="str">
        <f>'PROV. JAWA BARAT'!I563</f>
        <v>PASIRJAMBU</v>
      </c>
      <c r="D47" s="23">
        <f>'PROV. JAWA BARAT'!R563</f>
        <v>12</v>
      </c>
      <c r="E47" s="39"/>
      <c r="F47" s="26"/>
      <c r="G47" s="26"/>
      <c r="H47" s="18"/>
      <c r="I47" s="18"/>
    </row>
    <row r="75" spans="4:4">
      <c r="D75" s="17">
        <f>SUM(D2:D73)</f>
        <v>675</v>
      </c>
    </row>
  </sheetData>
  <mergeCells count="39">
    <mergeCell ref="F44:F47"/>
    <mergeCell ref="G44:G47"/>
    <mergeCell ref="F34:F36"/>
    <mergeCell ref="G34:G36"/>
    <mergeCell ref="F37:F39"/>
    <mergeCell ref="G37:G39"/>
    <mergeCell ref="F40:F43"/>
    <mergeCell ref="G40:G43"/>
    <mergeCell ref="F25:F27"/>
    <mergeCell ref="G25:G27"/>
    <mergeCell ref="F28:F30"/>
    <mergeCell ref="G28:G30"/>
    <mergeCell ref="F31:F33"/>
    <mergeCell ref="G31:G33"/>
    <mergeCell ref="F14:F16"/>
    <mergeCell ref="G14:G16"/>
    <mergeCell ref="F17:F21"/>
    <mergeCell ref="G17:G21"/>
    <mergeCell ref="F22:F24"/>
    <mergeCell ref="G22:G24"/>
    <mergeCell ref="F2:F5"/>
    <mergeCell ref="G2:G5"/>
    <mergeCell ref="F6:F9"/>
    <mergeCell ref="G6:G9"/>
    <mergeCell ref="F10:F13"/>
    <mergeCell ref="G10:G13"/>
    <mergeCell ref="E34:E36"/>
    <mergeCell ref="E37:E39"/>
    <mergeCell ref="E40:E43"/>
    <mergeCell ref="E44:E47"/>
    <mergeCell ref="E25:E27"/>
    <mergeCell ref="E14:E16"/>
    <mergeCell ref="E22:E24"/>
    <mergeCell ref="E28:E30"/>
    <mergeCell ref="E17:E21"/>
    <mergeCell ref="E2:E5"/>
    <mergeCell ref="E6:E9"/>
    <mergeCell ref="E10:E13"/>
    <mergeCell ref="E31:E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B5CA-1E12-4236-8EA9-5D38B5245DE4}">
  <dimension ref="A1:H48"/>
  <sheetViews>
    <sheetView topLeftCell="A13" workbookViewId="0">
      <selection activeCell="G15" sqref="G15"/>
    </sheetView>
  </sheetViews>
  <sheetFormatPr defaultRowHeight="14.25"/>
  <cols>
    <col min="1" max="1" width="3.75" customWidth="1"/>
    <col min="2" max="2" width="18.125" customWidth="1"/>
    <col min="3" max="3" width="19.125" customWidth="1"/>
    <col min="4" max="4" width="14.75" style="17" customWidth="1"/>
    <col min="5" max="5" width="18.5" style="28" customWidth="1"/>
    <col min="6" max="6" width="18.25" customWidth="1"/>
    <col min="7" max="7" width="20.25" customWidth="1"/>
    <col min="8" max="8" width="17.875" customWidth="1"/>
  </cols>
  <sheetData>
    <row r="1" spans="1:8" s="17" customFormat="1">
      <c r="A1" s="29" t="s">
        <v>2635</v>
      </c>
      <c r="B1" s="29" t="s">
        <v>2636</v>
      </c>
      <c r="C1" s="29" t="s">
        <v>2637</v>
      </c>
      <c r="D1" s="29" t="s">
        <v>2638</v>
      </c>
      <c r="E1" s="30" t="s">
        <v>2643</v>
      </c>
      <c r="F1" s="23"/>
      <c r="G1" s="23"/>
      <c r="H1" s="23"/>
    </row>
    <row r="2" spans="1:8">
      <c r="A2" s="31">
        <v>1</v>
      </c>
      <c r="B2" s="31" t="str">
        <f>'PROV. JAWA BARAT'!H6</f>
        <v>ARJASARI</v>
      </c>
      <c r="C2" s="31" t="str">
        <f>'PROV. JAWA BARAT'!I6</f>
        <v>ARJASARI</v>
      </c>
      <c r="D2" s="32">
        <f>'PROV. JAWA BARAT'!R6</f>
        <v>14</v>
      </c>
      <c r="E2" s="33">
        <f>SUM(D2:D3)</f>
        <v>27</v>
      </c>
      <c r="F2" s="18"/>
      <c r="G2" s="18"/>
      <c r="H2" s="18"/>
    </row>
    <row r="3" spans="1:8">
      <c r="A3" s="31">
        <v>2</v>
      </c>
      <c r="B3" s="31" t="str">
        <f>'PROV. JAWA BARAT'!H20</f>
        <v>RANCAKOLE</v>
      </c>
      <c r="C3" s="31" t="str">
        <f>'PROV. JAWA BARAT'!I20</f>
        <v>ARJASARI</v>
      </c>
      <c r="D3" s="32">
        <f>'PROV. JAWA BARAT'!R20</f>
        <v>13</v>
      </c>
      <c r="E3" s="34"/>
      <c r="F3" s="18"/>
      <c r="G3" s="18"/>
      <c r="H3" s="18"/>
    </row>
    <row r="4" spans="1:8">
      <c r="A4" s="18">
        <v>3</v>
      </c>
      <c r="B4" s="18" t="str">
        <f>'PROV. JAWA BARAT'!H33</f>
        <v>JELEKONG</v>
      </c>
      <c r="C4" s="18" t="str">
        <f>'PROV. JAWA BARAT'!I33</f>
        <v>BALEENDAH</v>
      </c>
      <c r="D4" s="23">
        <f>'PROV. JAWA BARAT'!R33</f>
        <v>14</v>
      </c>
      <c r="E4" s="25">
        <f>SUM(D4:D5)</f>
        <v>29</v>
      </c>
      <c r="F4" s="18"/>
      <c r="G4" s="18"/>
      <c r="H4" s="18"/>
    </row>
    <row r="5" spans="1:8">
      <c r="A5" s="18">
        <v>4</v>
      </c>
      <c r="B5" s="18" t="str">
        <f>'PROV. JAWA BARAT'!H47</f>
        <v>WARGAMEKAR</v>
      </c>
      <c r="C5" s="18" t="str">
        <f>'PROV. JAWA BARAT'!I47</f>
        <v>BALEENDAH</v>
      </c>
      <c r="D5" s="23">
        <f>'PROV. JAWA BARAT'!R47</f>
        <v>15</v>
      </c>
      <c r="E5" s="26"/>
      <c r="F5" s="18"/>
      <c r="G5" s="18"/>
      <c r="H5" s="18"/>
    </row>
    <row r="6" spans="1:8">
      <c r="A6" s="31">
        <v>5</v>
      </c>
      <c r="B6" s="31" t="str">
        <f>'PROV. JAWA BARAT'!H62</f>
        <v>PASIRMULYA</v>
      </c>
      <c r="C6" s="31" t="str">
        <f>'PROV. JAWA BARAT'!I62</f>
        <v>BANJARAN</v>
      </c>
      <c r="D6" s="32">
        <f>'PROV. JAWA BARAT'!R62</f>
        <v>15</v>
      </c>
      <c r="E6" s="33">
        <f>SUM(D6:D7)</f>
        <v>28</v>
      </c>
      <c r="F6" s="18"/>
      <c r="G6" s="18"/>
      <c r="H6" s="18"/>
    </row>
    <row r="7" spans="1:8">
      <c r="A7" s="31">
        <v>6</v>
      </c>
      <c r="B7" s="31" t="str">
        <f>'PROV. JAWA BARAT'!H77</f>
        <v>SINDANGPANON</v>
      </c>
      <c r="C7" s="31" t="str">
        <f>'PROV. JAWA BARAT'!I77</f>
        <v>BANJARAN</v>
      </c>
      <c r="D7" s="32">
        <f>'PROV. JAWA BARAT'!R77</f>
        <v>13</v>
      </c>
      <c r="E7" s="34"/>
      <c r="F7" s="18"/>
      <c r="G7" s="18"/>
      <c r="H7" s="18"/>
    </row>
    <row r="8" spans="1:8">
      <c r="A8" s="18">
        <v>7</v>
      </c>
      <c r="B8" s="18" t="str">
        <f>'PROV. JAWA BARAT'!H90</f>
        <v>BOJONGSOANG</v>
      </c>
      <c r="C8" s="18" t="str">
        <f>'PROV. JAWA BARAT'!I90</f>
        <v>BOJONGSOANG</v>
      </c>
      <c r="D8" s="23">
        <f>'PROV. JAWA BARAT'!R90</f>
        <v>12</v>
      </c>
      <c r="E8" s="24">
        <f>D8</f>
        <v>12</v>
      </c>
      <c r="F8" s="18"/>
      <c r="G8" s="18"/>
      <c r="H8" s="18"/>
    </row>
    <row r="9" spans="1:8">
      <c r="A9" s="31">
        <v>8</v>
      </c>
      <c r="B9" s="31" t="str">
        <f>'PROV. JAWA BARAT'!H102</f>
        <v>BABAKAN PEUTEUY</v>
      </c>
      <c r="C9" s="31" t="str">
        <f>'PROV. JAWA BARAT'!I102</f>
        <v>CICALENGKA</v>
      </c>
      <c r="D9" s="32">
        <f>'PROV. JAWA BARAT'!R102</f>
        <v>10</v>
      </c>
      <c r="E9" s="33">
        <f>SUM(D9:D10)</f>
        <v>29</v>
      </c>
      <c r="F9" s="18"/>
      <c r="G9" s="18"/>
      <c r="H9" s="18"/>
    </row>
    <row r="10" spans="1:8">
      <c r="A10" s="31">
        <v>9</v>
      </c>
      <c r="B10" s="31" t="str">
        <f>'PROV. JAWA BARAT'!H112</f>
        <v>TANJUNGWANGI</v>
      </c>
      <c r="C10" s="31" t="str">
        <f>'PROV. JAWA BARAT'!I112</f>
        <v>CICALENGKA</v>
      </c>
      <c r="D10" s="32">
        <f>'PROV. JAWA BARAT'!R112</f>
        <v>19</v>
      </c>
      <c r="E10" s="34"/>
      <c r="F10" s="18"/>
      <c r="G10" s="18"/>
      <c r="H10" s="18"/>
    </row>
    <row r="11" spans="1:8">
      <c r="A11" s="18">
        <v>10</v>
      </c>
      <c r="B11" s="18" t="str">
        <f>'PROV. JAWA BARAT'!H131</f>
        <v>CIHANYIR</v>
      </c>
      <c r="C11" s="18" t="str">
        <f>'PROV. JAWA BARAT'!I131</f>
        <v>CIKANCUNG</v>
      </c>
      <c r="D11" s="23">
        <f>'PROV. JAWA BARAT'!R131</f>
        <v>20</v>
      </c>
      <c r="E11" s="25">
        <f>SUM(D11:D12)</f>
        <v>34</v>
      </c>
      <c r="F11" s="18"/>
      <c r="G11" s="18"/>
      <c r="H11" s="18"/>
    </row>
    <row r="12" spans="1:8">
      <c r="A12" s="18">
        <v>11</v>
      </c>
      <c r="B12" s="18" t="str">
        <f>'PROV. JAWA BARAT'!H151</f>
        <v>CILULUK</v>
      </c>
      <c r="C12" s="18" t="str">
        <f>'PROV. JAWA BARAT'!I151</f>
        <v>CIKANCUNG</v>
      </c>
      <c r="D12" s="23">
        <f>'PROV. JAWA BARAT'!R151</f>
        <v>14</v>
      </c>
      <c r="E12" s="26"/>
      <c r="F12" s="18"/>
      <c r="G12" s="18"/>
      <c r="H12" s="18"/>
    </row>
    <row r="13" spans="1:8">
      <c r="A13" s="31">
        <v>12</v>
      </c>
      <c r="B13" s="31" t="str">
        <f>'PROV. JAWA BARAT'!H165</f>
        <v>CILENGKRANG</v>
      </c>
      <c r="C13" s="31" t="str">
        <f>'PROV. JAWA BARAT'!I165</f>
        <v>CILENGKRANG</v>
      </c>
      <c r="D13" s="32">
        <f>'PROV. JAWA BARAT'!R165</f>
        <v>13</v>
      </c>
      <c r="E13" s="33">
        <f>SUM(D13:D14)</f>
        <v>28</v>
      </c>
      <c r="F13" s="18"/>
      <c r="G13" s="18"/>
      <c r="H13" s="18"/>
    </row>
    <row r="14" spans="1:8">
      <c r="A14" s="31">
        <v>13</v>
      </c>
      <c r="B14" s="31" t="str">
        <f>'PROV. JAWA BARAT'!H178</f>
        <v>GIRIMEKAR</v>
      </c>
      <c r="C14" s="31" t="str">
        <f>'PROV. JAWA BARAT'!I178</f>
        <v>CILENGKRANG</v>
      </c>
      <c r="D14" s="32">
        <f>'PROV. JAWA BARAT'!R178</f>
        <v>15</v>
      </c>
      <c r="E14" s="34"/>
      <c r="F14" s="18"/>
      <c r="G14" s="18"/>
      <c r="H14" s="18"/>
    </row>
    <row r="15" spans="1:8">
      <c r="A15" s="18">
        <v>14</v>
      </c>
      <c r="B15" s="18" t="str">
        <f>'PROV. JAWA BARAT'!H193</f>
        <v>CILEUNYI KULON</v>
      </c>
      <c r="C15" s="18" t="str">
        <f>'PROV. JAWA BARAT'!I193</f>
        <v>CILEUNYI</v>
      </c>
      <c r="D15" s="23">
        <f>'PROV. JAWA BARAT'!R193</f>
        <v>15</v>
      </c>
      <c r="E15" s="24">
        <f>D15</f>
        <v>15</v>
      </c>
      <c r="F15" s="18"/>
      <c r="G15" s="18"/>
      <c r="H15" s="18"/>
    </row>
    <row r="16" spans="1:8">
      <c r="A16" s="31">
        <v>15</v>
      </c>
      <c r="B16" s="31" t="str">
        <f>'PROV. JAWA BARAT'!H208</f>
        <v>PASIRHUNI</v>
      </c>
      <c r="C16" s="31" t="str">
        <f>'PROV. JAWA BARAT'!I208</f>
        <v>CIMAUNG</v>
      </c>
      <c r="D16" s="32">
        <f>'PROV. JAWA BARAT'!R208</f>
        <v>16</v>
      </c>
      <c r="E16" s="35">
        <f>D16</f>
        <v>16</v>
      </c>
      <c r="F16" s="18"/>
      <c r="G16" s="18"/>
      <c r="H16" s="18"/>
    </row>
    <row r="17" spans="1:8">
      <c r="A17" s="18">
        <v>16</v>
      </c>
      <c r="B17" s="18" t="str">
        <f>'PROV. JAWA BARAT'!H224</f>
        <v>CIBEUNYING</v>
      </c>
      <c r="C17" s="18" t="str">
        <f>'PROV. JAWA BARAT'!I224</f>
        <v>CIMENYAN</v>
      </c>
      <c r="D17" s="23">
        <f>'PROV. JAWA BARAT'!R224</f>
        <v>14</v>
      </c>
      <c r="E17" s="25">
        <f>SUM(D17:D18)</f>
        <v>24</v>
      </c>
      <c r="F17" s="18"/>
      <c r="G17" s="18"/>
      <c r="H17" s="18"/>
    </row>
    <row r="18" spans="1:8">
      <c r="A18" s="18">
        <v>17</v>
      </c>
      <c r="B18" s="18" t="str">
        <f>'PROV. JAWA BARAT'!H238</f>
        <v>MEKARSALUYU</v>
      </c>
      <c r="C18" s="18" t="str">
        <f>'PROV. JAWA BARAT'!I238</f>
        <v>CIMENYAN</v>
      </c>
      <c r="D18" s="23">
        <f>'PROV. JAWA BARAT'!R238</f>
        <v>10</v>
      </c>
      <c r="E18" s="26"/>
      <c r="F18" s="18"/>
      <c r="G18" s="18"/>
      <c r="H18" s="18"/>
    </row>
    <row r="19" spans="1:8">
      <c r="A19" s="31">
        <v>18</v>
      </c>
      <c r="B19" s="31" t="str">
        <f>'PROV. JAWA BARAT'!H248</f>
        <v>SARIMAHI</v>
      </c>
      <c r="C19" s="31" t="str">
        <f>'PROV. JAWA BARAT'!I248</f>
        <v>CIPARAY</v>
      </c>
      <c r="D19" s="32">
        <f>'PROV. JAWA BARAT'!R248</f>
        <v>15</v>
      </c>
      <c r="E19" s="33">
        <f>SUM(D19:D20)</f>
        <v>30</v>
      </c>
      <c r="F19" s="18"/>
      <c r="G19" s="18"/>
      <c r="H19" s="18"/>
    </row>
    <row r="20" spans="1:8">
      <c r="A20" s="31">
        <v>19</v>
      </c>
      <c r="B20" s="31" t="str">
        <f>'PROV. JAWA BARAT'!H263</f>
        <v>SUMBERSARI</v>
      </c>
      <c r="C20" s="31" t="str">
        <f>'PROV. JAWA BARAT'!I263</f>
        <v>CIPARAY</v>
      </c>
      <c r="D20" s="32">
        <f>'PROV. JAWA BARAT'!R263</f>
        <v>15</v>
      </c>
      <c r="E20" s="34"/>
      <c r="F20" s="18"/>
      <c r="G20" s="18"/>
      <c r="H20" s="18"/>
    </row>
    <row r="21" spans="1:8">
      <c r="A21" s="18">
        <v>20</v>
      </c>
      <c r="B21" s="18" t="str">
        <f>'PROV. JAWA BARAT'!H278</f>
        <v>CIWIDEY</v>
      </c>
      <c r="C21" s="18" t="str">
        <f>'PROV. JAWA BARAT'!I278</f>
        <v>CIWIDEY</v>
      </c>
      <c r="D21" s="23">
        <f>'PROV. JAWA BARAT'!R278</f>
        <v>8</v>
      </c>
      <c r="E21" s="25">
        <f>SUM(D21:D22)</f>
        <v>23</v>
      </c>
      <c r="F21" s="18"/>
      <c r="G21" s="18"/>
      <c r="H21" s="18"/>
    </row>
    <row r="22" spans="1:8">
      <c r="A22" s="18">
        <v>21</v>
      </c>
      <c r="B22" s="18" t="str">
        <f>'PROV. JAWA BARAT'!H286</f>
        <v>RAWABOGO</v>
      </c>
      <c r="C22" s="18" t="str">
        <f>'PROV. JAWA BARAT'!I286</f>
        <v>CIWIDEY</v>
      </c>
      <c r="D22" s="23">
        <f>'PROV. JAWA BARAT'!R286</f>
        <v>15</v>
      </c>
      <c r="E22" s="26"/>
      <c r="F22" s="18"/>
      <c r="G22" s="18"/>
      <c r="H22" s="18"/>
    </row>
    <row r="23" spans="1:8">
      <c r="A23" s="31">
        <v>22</v>
      </c>
      <c r="B23" s="31" t="str">
        <f>'PROV. JAWA BARAT'!H301</f>
        <v>SUKAPURA</v>
      </c>
      <c r="C23" s="31" t="str">
        <f>'PROV. JAWA BARAT'!I301</f>
        <v>DAYEUHKOLOT</v>
      </c>
      <c r="D23" s="32">
        <f>'PROV. JAWA BARAT'!R301</f>
        <v>11</v>
      </c>
      <c r="E23" s="35">
        <f>D23</f>
        <v>11</v>
      </c>
      <c r="F23" s="18"/>
      <c r="G23" s="18"/>
      <c r="H23" s="18"/>
    </row>
    <row r="24" spans="1:8">
      <c r="A24" s="18">
        <v>23</v>
      </c>
      <c r="B24" s="18" t="str">
        <f>'PROV. JAWA BARAT'!H312</f>
        <v>CIBEET</v>
      </c>
      <c r="C24" s="18" t="str">
        <f>'PROV. JAWA BARAT'!I312</f>
        <v>IBUN</v>
      </c>
      <c r="D24" s="23">
        <f>'PROV. JAWA BARAT'!R312</f>
        <v>15</v>
      </c>
      <c r="E24" s="25">
        <f>SUM(D24:D25)</f>
        <v>30</v>
      </c>
      <c r="F24" s="18"/>
      <c r="G24" s="18"/>
      <c r="H24" s="18"/>
    </row>
    <row r="25" spans="1:8">
      <c r="A25" s="18">
        <v>24</v>
      </c>
      <c r="B25" s="18" t="str">
        <f>'PROV. JAWA BARAT'!H327</f>
        <v>LAMPEGAN</v>
      </c>
      <c r="C25" s="18" t="str">
        <f>'PROV. JAWA BARAT'!I327</f>
        <v>IBUN</v>
      </c>
      <c r="D25" s="23">
        <f>'PROV. JAWA BARAT'!R327</f>
        <v>15</v>
      </c>
      <c r="E25" s="26"/>
      <c r="F25" s="18"/>
      <c r="G25" s="18"/>
      <c r="H25" s="18"/>
    </row>
    <row r="26" spans="1:8">
      <c r="A26" s="31">
        <v>25</v>
      </c>
      <c r="B26" s="31" t="str">
        <f>'PROV. JAWA BARAT'!H342</f>
        <v>CIKEMBANG</v>
      </c>
      <c r="C26" s="31" t="str">
        <f>'PROV. JAWA BARAT'!I342</f>
        <v>KERTASARI</v>
      </c>
      <c r="D26" s="32">
        <f>'PROV. JAWA BARAT'!R342</f>
        <v>12</v>
      </c>
      <c r="E26" s="33">
        <f>SUM(D26:D27)</f>
        <v>25</v>
      </c>
      <c r="F26" s="18"/>
      <c r="G26" s="18"/>
      <c r="H26" s="18"/>
    </row>
    <row r="27" spans="1:8">
      <c r="A27" s="31">
        <v>26</v>
      </c>
      <c r="B27" s="31" t="str">
        <f>'PROV. JAWA BARAT'!H354</f>
        <v>TARUMAJAYA</v>
      </c>
      <c r="C27" s="31" t="str">
        <f>'PROV. JAWA BARAT'!I354</f>
        <v>KERTASARI</v>
      </c>
      <c r="D27" s="32">
        <f>'PROV. JAWA BARAT'!R354</f>
        <v>13</v>
      </c>
      <c r="E27" s="34"/>
      <c r="F27" s="18"/>
      <c r="G27" s="18"/>
      <c r="H27" s="18"/>
    </row>
    <row r="28" spans="1:8">
      <c r="A28" s="18">
        <v>27</v>
      </c>
      <c r="B28" s="18" t="str">
        <f>'PROV. JAWA BARAT'!H367</f>
        <v>GAJAH MEKAR</v>
      </c>
      <c r="C28" s="18" t="str">
        <f>'PROV. JAWA BARAT'!I367</f>
        <v>KUTAWARINGIN</v>
      </c>
      <c r="D28" s="23">
        <f>'PROV. JAWA BARAT'!R367</f>
        <v>19</v>
      </c>
      <c r="E28" s="25">
        <f>SUM(D28:D29)</f>
        <v>35</v>
      </c>
      <c r="F28" s="18"/>
      <c r="G28" s="18"/>
      <c r="H28" s="18"/>
    </row>
    <row r="29" spans="1:8">
      <c r="A29" s="18">
        <v>28</v>
      </c>
      <c r="B29" s="18" t="str">
        <f>'PROV. JAWA BARAT'!H386</f>
        <v>JATISARI</v>
      </c>
      <c r="C29" s="18" t="str">
        <f>'PROV. JAWA BARAT'!I386</f>
        <v>KUTAWARINGIN</v>
      </c>
      <c r="D29" s="23">
        <f>'PROV. JAWA BARAT'!R386</f>
        <v>16</v>
      </c>
      <c r="E29" s="26"/>
      <c r="F29" s="18"/>
      <c r="G29" s="18"/>
      <c r="H29" s="18"/>
    </row>
    <row r="30" spans="1:8">
      <c r="A30" s="31">
        <v>29</v>
      </c>
      <c r="B30" s="31" t="str">
        <f>'PROV. JAWA BARAT'!H402</f>
        <v>MAJAKERTA</v>
      </c>
      <c r="C30" s="31" t="str">
        <f>'PROV. JAWA BARAT'!I402</f>
        <v>MAJALAYA</v>
      </c>
      <c r="D30" s="32">
        <f>'PROV. JAWA BARAT'!R402</f>
        <v>14</v>
      </c>
      <c r="E30" s="33">
        <f>SUM(D30:D32)</f>
        <v>45</v>
      </c>
      <c r="F30" s="18"/>
      <c r="G30" s="18"/>
      <c r="H30" s="18"/>
    </row>
    <row r="31" spans="1:8">
      <c r="A31" s="31">
        <v>30</v>
      </c>
      <c r="B31" s="31" t="str">
        <f>'PROV. JAWA BARAT'!H415</f>
        <v>MAJASETRA</v>
      </c>
      <c r="C31" s="31" t="str">
        <f>'PROV. JAWA BARAT'!I415</f>
        <v>MAJALAYA</v>
      </c>
      <c r="D31" s="32">
        <f>'PROV. JAWA BARAT'!R415</f>
        <v>19</v>
      </c>
      <c r="E31" s="36"/>
      <c r="F31" s="18"/>
      <c r="G31" s="18"/>
      <c r="H31" s="18"/>
    </row>
    <row r="32" spans="1:8">
      <c r="A32" s="31">
        <v>31</v>
      </c>
      <c r="B32" s="31" t="str">
        <f>'PROV. JAWA BARAT'!H434</f>
        <v>SUKAMAJU</v>
      </c>
      <c r="C32" s="31" t="str">
        <f>'PROV. JAWA BARAT'!I434</f>
        <v>MAJALAYA</v>
      </c>
      <c r="D32" s="32">
        <f>'PROV. JAWA BARAT'!R434</f>
        <v>12</v>
      </c>
      <c r="E32" s="34"/>
      <c r="F32" s="18"/>
      <c r="G32" s="18"/>
      <c r="H32" s="18"/>
    </row>
    <row r="33" spans="1:8">
      <c r="A33" s="18">
        <v>32</v>
      </c>
      <c r="B33" s="18" t="str">
        <f>'PROV. JAWA BARAT'!H447</f>
        <v>CIGONDEWAH HILIR</v>
      </c>
      <c r="C33" s="18" t="str">
        <f>'PROV. JAWA BARAT'!I447</f>
        <v>MARGAASIH</v>
      </c>
      <c r="D33" s="23">
        <f>'PROV. JAWA BARAT'!R447</f>
        <v>16</v>
      </c>
      <c r="E33" s="24">
        <f>D33</f>
        <v>16</v>
      </c>
      <c r="F33" s="18"/>
      <c r="G33" s="18"/>
      <c r="H33" s="18"/>
    </row>
    <row r="34" spans="1:8">
      <c r="A34" s="31">
        <v>33</v>
      </c>
      <c r="B34" s="31" t="str">
        <f>'PROV. JAWA BARAT'!H463</f>
        <v>CIARO</v>
      </c>
      <c r="C34" s="31" t="str">
        <f>'PROV. JAWA BARAT'!I463</f>
        <v>NAGREG</v>
      </c>
      <c r="D34" s="32">
        <f>'PROV. JAWA BARAT'!R463</f>
        <v>20</v>
      </c>
      <c r="E34" s="35">
        <f>D34</f>
        <v>20</v>
      </c>
      <c r="F34" s="18"/>
      <c r="G34" s="18"/>
      <c r="H34" s="18"/>
    </row>
    <row r="35" spans="1:8">
      <c r="A35" s="18">
        <v>34</v>
      </c>
      <c r="B35" s="18" t="str">
        <f>'PROV. JAWA BARAT'!H483</f>
        <v>CIKAWAO</v>
      </c>
      <c r="C35" s="18" t="str">
        <f>'PROV. JAWA BARAT'!I483</f>
        <v>PACET</v>
      </c>
      <c r="D35" s="23">
        <f>'PROV. JAWA BARAT'!R483</f>
        <v>17</v>
      </c>
      <c r="E35" s="25">
        <f>SUM(D35:D36)</f>
        <v>36</v>
      </c>
      <c r="F35" s="18"/>
      <c r="G35" s="18"/>
      <c r="H35" s="18"/>
    </row>
    <row r="36" spans="1:8">
      <c r="A36" s="18">
        <v>35</v>
      </c>
      <c r="B36" s="18" t="str">
        <f>'PROV. JAWA BARAT'!H500</f>
        <v>PANGAUBAN</v>
      </c>
      <c r="C36" s="18" t="str">
        <f>'PROV. JAWA BARAT'!I500</f>
        <v>PACET</v>
      </c>
      <c r="D36" s="23">
        <f>'PROV. JAWA BARAT'!R500</f>
        <v>19</v>
      </c>
      <c r="E36" s="26"/>
      <c r="F36" s="18"/>
      <c r="G36" s="18"/>
      <c r="H36" s="18"/>
    </row>
    <row r="37" spans="1:8">
      <c r="A37" s="31">
        <v>36</v>
      </c>
      <c r="B37" s="31" t="str">
        <f>'PROV. JAWA BARAT'!H519</f>
        <v>LAMAJANG</v>
      </c>
      <c r="C37" s="31" t="str">
        <f>'PROV. JAWA BARAT'!I519</f>
        <v>PANGALENGAN</v>
      </c>
      <c r="D37" s="32">
        <f>'PROV. JAWA BARAT'!R519</f>
        <v>15</v>
      </c>
      <c r="E37" s="33">
        <f>SUM(D37:D38)</f>
        <v>23</v>
      </c>
      <c r="F37" s="18"/>
      <c r="G37" s="18"/>
      <c r="H37" s="18"/>
    </row>
    <row r="38" spans="1:8">
      <c r="A38" s="31">
        <v>37</v>
      </c>
      <c r="B38" s="31" t="str">
        <f>'PROV. JAWA BARAT'!H534</f>
        <v>PULOSARI</v>
      </c>
      <c r="C38" s="31" t="str">
        <f>'PROV. JAWA BARAT'!I534</f>
        <v>PANGALENGAN</v>
      </c>
      <c r="D38" s="32">
        <f>'PROV. JAWA BARAT'!R534</f>
        <v>8</v>
      </c>
      <c r="E38" s="34"/>
      <c r="F38" s="18"/>
      <c r="G38" s="18"/>
      <c r="H38" s="18"/>
    </row>
    <row r="39" spans="1:8">
      <c r="A39" s="18">
        <v>38</v>
      </c>
      <c r="B39" s="18" t="str">
        <f>'PROV. JAWA BARAT'!H542</f>
        <v>LOA</v>
      </c>
      <c r="C39" s="18" t="str">
        <f>'PROV. JAWA BARAT'!I542</f>
        <v>PASEH</v>
      </c>
      <c r="D39" s="23">
        <f>'PROV. JAWA BARAT'!R542</f>
        <v>20</v>
      </c>
      <c r="E39" s="24">
        <f>D39</f>
        <v>20</v>
      </c>
      <c r="F39" s="18"/>
      <c r="G39" s="18"/>
      <c r="H39" s="18"/>
    </row>
    <row r="40" spans="1:8">
      <c r="A40" s="31">
        <v>39</v>
      </c>
      <c r="B40" s="31" t="str">
        <f>'PROV. JAWA BARAT'!H562</f>
        <v>CIBODAS</v>
      </c>
      <c r="C40" s="31" t="str">
        <f>'PROV. JAWA BARAT'!I562</f>
        <v>PASIRJAMBU</v>
      </c>
      <c r="D40" s="32">
        <f>'PROV. JAWA BARAT'!R569</f>
        <v>10</v>
      </c>
      <c r="E40" s="33">
        <f>SUM(D40:D41)</f>
        <v>22</v>
      </c>
      <c r="F40" s="18"/>
      <c r="G40" s="18"/>
      <c r="H40" s="18"/>
    </row>
    <row r="41" spans="1:8">
      <c r="A41" s="31">
        <v>40</v>
      </c>
      <c r="B41" s="31" t="str">
        <f>'PROV. JAWA BARAT'!H563</f>
        <v>CISONDARI</v>
      </c>
      <c r="C41" s="31" t="str">
        <f>'PROV. JAWA BARAT'!I563</f>
        <v>PASIRJAMBU</v>
      </c>
      <c r="D41" s="32">
        <f>'PROV. JAWA BARAT'!R563</f>
        <v>12</v>
      </c>
      <c r="E41" s="34"/>
      <c r="F41" s="18"/>
      <c r="G41" s="18"/>
      <c r="H41" s="18"/>
    </row>
    <row r="42" spans="1:8">
      <c r="A42" s="18">
        <v>41</v>
      </c>
      <c r="B42" s="18" t="str">
        <f>'PROV. JAWA BARAT'!H584</f>
        <v>ALAMENDAH</v>
      </c>
      <c r="C42" s="18" t="str">
        <f>'PROV. JAWA BARAT'!I584</f>
        <v>RANCABALI</v>
      </c>
      <c r="D42" s="23">
        <f>'PROV. JAWA BARAT'!R584</f>
        <v>13</v>
      </c>
      <c r="E42" s="25">
        <f>SUM(D42:D43)</f>
        <v>26</v>
      </c>
      <c r="F42" s="18"/>
      <c r="G42" s="18"/>
      <c r="H42" s="18"/>
    </row>
    <row r="43" spans="1:8">
      <c r="A43" s="18">
        <v>42</v>
      </c>
      <c r="B43" s="18" t="str">
        <f>'PROV. JAWA BARAT'!H597</f>
        <v>CIPELAH</v>
      </c>
      <c r="C43" s="18" t="str">
        <f>'PROV. JAWA BARAT'!I597</f>
        <v>RANCABALI</v>
      </c>
      <c r="D43" s="23">
        <f>'PROV. JAWA BARAT'!R597</f>
        <v>13</v>
      </c>
      <c r="E43" s="26"/>
      <c r="F43" s="18"/>
      <c r="G43" s="18"/>
      <c r="H43" s="18"/>
    </row>
    <row r="44" spans="1:8">
      <c r="A44" s="31">
        <v>43</v>
      </c>
      <c r="B44" s="31" t="str">
        <f>'PROV. JAWA BARAT'!H610</f>
        <v>BOJONGEMAS</v>
      </c>
      <c r="C44" s="31" t="str">
        <f>'PROV. JAWA BARAT'!I610</f>
        <v>SOLOKANJERUK</v>
      </c>
      <c r="D44" s="32">
        <f>'PROV. JAWA BARAT'!R610</f>
        <v>15</v>
      </c>
      <c r="E44" s="33">
        <f>SUM(D44:D47)</f>
        <v>71</v>
      </c>
      <c r="F44" s="18"/>
      <c r="G44" s="18"/>
      <c r="H44" s="18"/>
    </row>
    <row r="45" spans="1:8">
      <c r="A45" s="31">
        <v>44</v>
      </c>
      <c r="B45" s="31" t="str">
        <f>'PROV. JAWA BARAT'!H625</f>
        <v>CIBODAS</v>
      </c>
      <c r="C45" s="31" t="str">
        <f>'PROV. JAWA BARAT'!I625</f>
        <v>SOLOKANJERUK</v>
      </c>
      <c r="D45" s="32">
        <f>'PROV. JAWA BARAT'!R625</f>
        <v>15</v>
      </c>
      <c r="E45" s="36"/>
      <c r="F45" s="18"/>
      <c r="G45" s="18"/>
      <c r="H45" s="18"/>
    </row>
    <row r="46" spans="1:8">
      <c r="A46" s="31">
        <v>45</v>
      </c>
      <c r="B46" s="31" t="str">
        <f>'PROV. JAWA BARAT'!H640</f>
        <v>PADAMUKTI</v>
      </c>
      <c r="C46" s="31" t="str">
        <f>'PROV. JAWA BARAT'!I640</f>
        <v>SOLOKANJERUK</v>
      </c>
      <c r="D46" s="32">
        <f>'PROV. JAWA BARAT'!R640</f>
        <v>20</v>
      </c>
      <c r="E46" s="36"/>
      <c r="F46" s="18"/>
      <c r="G46" s="18"/>
      <c r="H46" s="18"/>
    </row>
    <row r="47" spans="1:8">
      <c r="A47" s="31">
        <v>46</v>
      </c>
      <c r="B47" s="31" t="str">
        <f>'PROV. JAWA BARAT'!H660</f>
        <v>PANYADAP</v>
      </c>
      <c r="C47" s="31" t="str">
        <f>'PROV. JAWA BARAT'!I660</f>
        <v>SOLOKANJERUK</v>
      </c>
      <c r="D47" s="32">
        <f>'PROV. JAWA BARAT'!R660</f>
        <v>21</v>
      </c>
      <c r="E47" s="34"/>
      <c r="F47" s="18"/>
      <c r="G47" s="18"/>
      <c r="H47" s="18"/>
    </row>
    <row r="48" spans="1:8">
      <c r="D48" s="17">
        <f>SUM(D2:D47)</f>
        <v>675</v>
      </c>
      <c r="E48" s="28">
        <f>SUM(E2:E47)</f>
        <v>675</v>
      </c>
    </row>
  </sheetData>
  <mergeCells count="18">
    <mergeCell ref="E35:E36"/>
    <mergeCell ref="E37:E38"/>
    <mergeCell ref="E40:E41"/>
    <mergeCell ref="E42:E43"/>
    <mergeCell ref="E44:E47"/>
    <mergeCell ref="E19:E20"/>
    <mergeCell ref="E17:E18"/>
    <mergeCell ref="E21:E22"/>
    <mergeCell ref="E24:E25"/>
    <mergeCell ref="E26:E27"/>
    <mergeCell ref="E28:E29"/>
    <mergeCell ref="E30:E32"/>
    <mergeCell ref="E2:E3"/>
    <mergeCell ref="E4:E5"/>
    <mergeCell ref="E6:E7"/>
    <mergeCell ref="E9:E10"/>
    <mergeCell ref="E11:E12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PROV. JAWA BARAT</vt:lpstr>
      <vt:lpstr>DATA PERDESA</vt:lpstr>
      <vt:lpstr>DATA PERKECAMATAN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 Direktorat Perencanaan Teknis Peningkatan Kualitas Perumahan Perdesaan</dc:creator>
  <cp:keywords/>
  <dc:description/>
  <cp:lastModifiedBy>Asus</cp:lastModifiedBy>
  <cp:revision/>
  <dcterms:created xsi:type="dcterms:W3CDTF">2026-02-23T02:11:47Z</dcterms:created>
  <dcterms:modified xsi:type="dcterms:W3CDTF">2026-05-01T11:47:32Z</dcterms:modified>
  <cp:category/>
  <cp:contentStatus/>
</cp:coreProperties>
</file>